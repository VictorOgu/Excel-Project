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xml" ContentType="application/vnd.openxmlformats-officedocument.themeOverride+xml"/>
  <Override PartName="/xl/charts/chartEx4.xml" ContentType="application/vnd.ms-office.chartex+xml"/>
  <Override PartName="/xl/charts/style16.xml" ContentType="application/vnd.ms-office.chartstyle+xml"/>
  <Override PartName="/xl/charts/colors16.xml" ContentType="application/vnd.ms-office.chartcolorstyle+xml"/>
  <Override PartName="/xl/theme/themeOverride2.xml" ContentType="application/vnd.openxmlformats-officedocument.themeOverride+xml"/>
  <Override PartName="/xl/charts/chartEx5.xml" ContentType="application/vnd.ms-office.chartex+xml"/>
  <Override PartName="/xl/charts/style17.xml" ContentType="application/vnd.ms-office.chartstyle+xml"/>
  <Override PartName="/xl/charts/colors17.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1.xml" ContentType="application/vnd.ms-excel.person+xml"/>
  <Override PartName="/xl/persons/person0.xml" ContentType="application/vnd.ms-excel.person+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13_ncr:1_{D2DCC8A0-AB07-48A1-9444-70C17E8BEC06}" xr6:coauthVersionLast="47" xr6:coauthVersionMax="47" xr10:uidLastSave="{00000000-0000-0000-0000-000000000000}"/>
  <bookViews>
    <workbookView xWindow="-110" yWindow="-110" windowWidth="19420" windowHeight="10300" firstSheet="6" activeTab="8" xr2:uid="{00000000-000D-0000-FFFF-FFFF00000000}"/>
  </bookViews>
  <sheets>
    <sheet name="Pivot Table Diagram" sheetId="4" r:id="rId1"/>
    <sheet name="Task" sheetId="15" r:id="rId2"/>
    <sheet name="Data (2)" sheetId="17" r:id="rId3"/>
    <sheet name="PRE-ANALYSIS BOARD" sheetId="18" r:id="rId4"/>
    <sheet name="PIVOT ANALYSIS" sheetId="19" r:id="rId5"/>
    <sheet name="OBSERVATIONS" sheetId="20" r:id="rId6"/>
    <sheet name="Dashboard sketch" sheetId="22" r:id="rId7"/>
    <sheet name="Post analysis observations " sheetId="26" r:id="rId8"/>
    <sheet name="Dashboard sketch (2)" sheetId="23" r:id="rId9"/>
    <sheet name="Post analysis Insights" sheetId="24" r:id="rId10"/>
  </sheets>
  <definedNames>
    <definedName name="_xlnm._FilterDatabase" localSheetId="2" hidden="1">'Data (2)'!$A$1:$Z$370</definedName>
    <definedName name="_xlchart.v1.0" hidden="1">'PIVOT ANALYSIS'!$D$118:$D$129</definedName>
    <definedName name="_xlchart.v1.1" hidden="1">'PIVOT ANALYSIS'!$E$118:$E$129</definedName>
    <definedName name="_xlchart.v1.13" hidden="1">'PIVOT ANALYSIS'!$C$97:$C$102</definedName>
    <definedName name="_xlchart.v1.14" hidden="1">'PIVOT ANALYSIS'!$D$96</definedName>
    <definedName name="_xlchart.v1.15" hidden="1">'PIVOT ANALYSIS'!$D$97:$D$102</definedName>
    <definedName name="_xlchart.v1.6" hidden="1">'PIVOT ANALYSIS'!$C$97:$C$102</definedName>
    <definedName name="_xlchart.v1.7" hidden="1">'PIVOT ANALYSIS'!$D$96</definedName>
    <definedName name="_xlchart.v1.8" hidden="1">'PIVOT ANALYSIS'!$D$97:$D$102</definedName>
    <definedName name="_xlchart.v5.10" hidden="1">'PIVOT ANALYSIS'!$S$117:$S$128</definedName>
    <definedName name="_xlchart.v5.11" hidden="1">'PIVOT ANALYSIS'!$T$116</definedName>
    <definedName name="_xlchart.v5.12" hidden="1">'PIVOT ANALYSIS'!$T$117:$T$128</definedName>
    <definedName name="_xlchart.v5.2" hidden="1">'PIVOT ANALYSIS'!$S$116</definedName>
    <definedName name="_xlchart.v5.3" hidden="1">'PIVOT ANALYSIS'!$S$117:$S$128</definedName>
    <definedName name="_xlchart.v5.4" hidden="1">'PIVOT ANALYSIS'!$T$116</definedName>
    <definedName name="_xlchart.v5.5" hidden="1">'PIVOT ANALYSIS'!$T$117:$T$128</definedName>
    <definedName name="_xlchart.v5.9" hidden="1">'PIVOT ANALYSIS'!$S$116</definedName>
    <definedName name="Slicer_Product_Name">#N/A</definedName>
    <definedName name="Slicer_Salesperson">#N/A</definedName>
  </definedNames>
  <calcPr calcId="181029"/>
  <pivotCaches>
    <pivotCache cacheId="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<sst xmlns="http://schemas.openxmlformats.org/spreadsheetml/2006/main" count="5934" uniqueCount="192">
  <si>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</si>
  <si>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</si>
  <si>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</si>
  <si>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</si>
  <si>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</si>
  <si>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</si>
  <si>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</si>
  <si>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</si>
  <si>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</si>
  <si>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</si>
  <si>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</si>
  <si>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</si>
  <si>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</si>
  <si>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</si>
  <si>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</si>
  <si>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</si>
  <si>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</si>
  <si>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</si>
  <si>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</si>
  <si>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</si>
  <si>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</si>
  <si>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</si>
  <si>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</si>
  <si>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</si>
  <si>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</si>
  <si>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</si>
  <si>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</si>
  <si>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</si>
  <si>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</si>
  <si>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</si>
  <si>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</si>
  <si>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</si>
  <si>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</si>
  <si>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</si>
  <si>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</si>
  <si>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</si>
  <si>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</si>
  <si>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</si>
  <si>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</si>
  <si>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</si>
  <si>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</si>
  <si>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</si>
  <si>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</si>
  <si>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</si>
  <si>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</si>
  <si>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</si>
  <si>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</si>
  <si>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</si>
  <si>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</si>
  <si>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</si>
  <si>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</si>
  <si>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</si>
  <si>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</si>
  <si>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</si>
  <si>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</si>
  <si>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</si>
  <si>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</si>
  <si>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</si>
  <si>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</si>
  <si>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</si>
  <si>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</si>
  <si>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</si>
  <si>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</si>
  <si>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</si>
  <si>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</si>
  <si>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</si>
  <si>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</si>
  <si>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</si>
  <si>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</si>
  <si>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</si>
  <si>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</si>
  <si>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</si>
  <si>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</si>
  <si>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</si>
  <si>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</si>
  <si>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</si>
  <si>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</si>
  <si>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</si>
  <si>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</si>
  <si>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</si>
  <si>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</si>
  <si>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</si>
  <si>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</si>
  <si>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</si>
  <si>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</si>
  <si>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</si>
  <si>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</si>
  <si>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</si>
  <si>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</si>
  <si>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</si>
  <si>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</si>
  <si>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</si>
  <si>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</si>
  <si>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</si>
  <si>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</si>
  <si>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</si>
  <si>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</si>
  <si>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</si>
  <si>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</si>
  <si>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</si>
  <si>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</si>
  <si>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</si>
  <si>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</si>
  <si>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</si>
  <si>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</si>
  <si>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</si>
  <si>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</si>
  <si>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</si>
  <si>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</si>
  <si>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</si>
  <si>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</si>
  <si>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</si>
  <si>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</si>
  <si>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</si>
  <si>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</si>
  <si>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</si>
  <si>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</si>
  <si>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</si>
  <si>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</si>
  <si>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</si>
  <si>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</si>
  <si>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</si>
  <si>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</si>
  <si>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</si>
  <si>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</si>
  <si>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</si>
  <si>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</si>
  <si>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</si>
  <si>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</si>
  <si>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</si>
  <si>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</si>
  <si>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</si>
  <si>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</si>
  <si>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</si>
  <si>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</si>
  <si>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</si>
  <si>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</si>
  <si>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</si>
  <si>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</si>
  <si>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</si>
  <si>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</si>
  <si>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</si>
  <si>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</si>
  <si>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</si>
  <si>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</si>
  <si>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</si>
  <si>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</si>
  <si>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</si>
  <si>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</si>
  <si>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</si>
  <si>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</si>
  <si>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</si>
  <si>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</si>
  <si>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</si>
  <si>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</si>
  <si>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</si>
  <si>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</si>
  <si>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</si>
  <si>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</si>
  <si>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</si>
  <si>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</si>
  <si>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</si>
  <si>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</si>
  <si>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</si>
  <si>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</si>
  <si>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</si>
  <si>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</si>
  <si>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Row Labels</t>
  </si>
  <si>
    <t>Grand Total</t>
  </si>
  <si>
    <t>Sum of Revenue</t>
  </si>
  <si>
    <t>Jan</t>
  </si>
  <si>
    <t>Feb</t>
  </si>
  <si>
    <t>Mar</t>
  </si>
  <si>
    <t>Apr</t>
  </si>
  <si>
    <t>May</t>
  </si>
  <si>
    <t>Jun</t>
  </si>
  <si>
    <t>Jul</t>
  </si>
  <si>
    <t>Aug</t>
  </si>
  <si>
    <t>Sep</t>
  </si>
  <si>
    <t>Oct</t>
  </si>
  <si>
    <t>Nov</t>
  </si>
  <si>
    <t>Dec</t>
  </si>
  <si>
    <t>Count of Revenue</t>
  </si>
  <si>
    <t>0-1000</t>
  </si>
  <si>
    <t>1000-2000</t>
  </si>
  <si>
    <t>2000-3000</t>
  </si>
  <si>
    <t>3000-4000</t>
  </si>
  <si>
    <t>4000-5000</t>
  </si>
  <si>
    <t>6000-7000</t>
  </si>
  <si>
    <t>7000-8000</t>
  </si>
  <si>
    <t>Cities</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</si>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</sst>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mm/dd/yy;@"/>
    <numFmt numFmtId="165" formatCode="&quot;$&quot;#,##0.00"/>
  </numFmts>
  <fonts count="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4"/>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15">
    <xf numFmtId="0" fontId="0" fillId="0" borderId="0" xfId="0"/>
    <xf numFmtId="0" fontId="2" fillId="2" borderId="0" xfId="0" applyFont="1" applyFill="1"/>
    <xf numFmtId="164" fontId="0" fillId="0" borderId="0" xfId="0" applyNumberFormat="1"/>
    <xf numFmtId="165" fontId="0" fillId="0" borderId="0" xfId="0" applyNumberFormat="1"/>
    <xf numFmtId="165" fontId="0" fillId="0" borderId="0" xfId="1" applyNumberFormat="1" applyFont="1"/>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xf numFmtId="165" fontId="0" fillId="0" borderId="0" xfId="0" applyNumberFormat="1" applyAlignment="1">
      <alignment horizontal="left"/>
    </xf>
    <xf numFmtId="0" fontId="0" fillId="5" borderId="0" xfId="0" applyFill="1"/>
    <xf numFmtId="0" fontId="2" fillId="6" borderId="2" xfId="0" applyFont="1" applyFill="1" applyBorder="1"/>
  </cellXfs>
  <cellStyles count="3">
    <cellStyle name="Currency" xfId="1" builtinId="4"/>
    <cellStyle name="Hyperlink" xfId="2" builtinId="8"/>
    <cellStyle name="Normal" xfId="0" builtinId="0"/>
  </cellStyles>
  <dxfs count="13">
    <dxf>
      <font>
        <b/>
        <color theme="1"/>
      </font>
      <border>
        <bottom style="thin">
          <color theme="9"/>
        </bottom>
        <vertical/>
        <horizontal/>
      </border>
    </dxf>
    <dxf>
      <font>
        <sz val="13"/>
        <color theme="1"/>
      </font>
      <border diagonalUp="0" diagonalDown="0">
        <left/>
        <right/>
        <top/>
        <bottom/>
        <vertical/>
        <horizontal/>
      </border>
    </dxf>
    <dxf>
      <font>
        <b/>
        <color theme="1"/>
      </font>
      <border>
        <bottom style="thin">
          <color theme="9"/>
        </bottom>
        <vertical/>
        <horizontal/>
      </border>
    </dxf>
    <dxf>
      <font>
        <sz val="13"/>
        <color theme="1"/>
        <name val="Calibri"/>
        <family val="2"/>
        <scheme val="minor"/>
      </font>
      <border diagonalUp="0" diagonalDown="0">
        <left/>
        <right/>
        <top/>
        <bottom/>
        <vertical/>
        <horizontal/>
      </border>
    </dxf>
    <dxf>
      <numFmt numFmtId="165" formatCode="&quot;$&quot;#,##0.00"/>
    </dxf>
    <dxf>
      <font>
        <b val="0"/>
        <i val="0"/>
        <strike val="0"/>
        <condense val="0"/>
        <extend val="0"/>
        <outline val="0"/>
        <shadow val="0"/>
        <u val="none"/>
        <vertAlign val="baseline"/>
        <sz val="11"/>
        <color theme="1"/>
        <name val="Calibri"/>
        <family val="2"/>
        <scheme val="minor"/>
      </font>
      <numFmt numFmtId="165" formatCode="&quot;$&quot;#,##0.00"/>
    </dxf>
    <dxf>
      <numFmt numFmtId="164" formatCode="mm/dd/yy;@"/>
    </dxf>
    <dxf>
      <numFmt numFmtId="164" formatCode="mm/dd/yy;@"/>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sz val="12"/>
        <color theme="1"/>
        <name val="Calibri"/>
        <family val="2"/>
        <scheme val="minor"/>
      </font>
      <fill>
        <patternFill>
          <bgColor rgb="FF375723"/>
        </patternFill>
      </fill>
      <border diagonalUp="0" diagonalDown="0">
        <left/>
        <right/>
        <top/>
        <bottom/>
        <vertical/>
        <horizontal/>
      </border>
    </dxf>
  </dxfs>
  <tableStyles count="4" defaultTableStyle="TableStyleMedium2" defaultPivotStyle="PivotStyleLight16">
    <tableStyle name="SlicerStyleDark6 2" pivot="0" table="0" count="10" xr9:uid="{C61EBE33-A17C-4509-B9AA-24BE71640E44}">
      <tableStyleElement type="wholeTable" dxfId="12"/>
      <tableStyleElement type="headerRow" dxfId="11"/>
    </tableStyle>
    <tableStyle name="SlicerStyleDark6 3" pivot="0" table="0" count="10" xr9:uid="{15C67203-1FBD-48C4-8DE8-C0E7BA39DB67}">
      <tableStyleElement type="wholeTable" dxfId="3"/>
      <tableStyleElement type="headerRow" dxfId="2"/>
    </tableStyle>
    <tableStyle name="SlicerStyleDark6 3 2" pivot="0" table="0" count="10" xr9:uid="{3786EEFD-89D2-4573-85E8-268648302934}">
      <tableStyleElement type="wholeTable" dxfId="1"/>
      <tableStyleElement type="headerRow" dxfId="0"/>
    </tableStyle>
    <tableStyle name="SlicerStyleLight6 2" pivot="0" table="0" count="10" xr9:uid="{30E323E8-2F29-40E9-A3B0-0D6F19E6264B}">
      <tableStyleElement type="wholeTable" dxfId="10"/>
      <tableStyleElement type="headerRow" dxfId="9"/>
    </tableStyle>
  </tableStyles>
  <colors>
    <mruColors>
      <color rgb="FF3A5925"/>
      <color rgb="FF293E1A"/>
      <color rgb="FF253818"/>
      <color rgb="FF578537"/>
      <color rgb="FF3E5F27"/>
      <color rgb="FFEDF5E7"/>
      <color rgb="FF375723"/>
      <color rgb="FF008000"/>
      <color rgb="FF3F6228"/>
      <color rgb="FF4F7B31"/>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0"/>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sz val="17"/>
            <color theme="0"/>
          </font>
          <fill>
            <patternFill patternType="solid">
              <fgColor theme="9" tint="-0.499984740745262"/>
              <bgColor rgb="FF3E5F27"/>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0"/>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sz val="17"/>
            <color theme="0"/>
          </font>
          <fill>
            <patternFill patternType="solid">
              <fgColor theme="0" tint="-0.34998626667073579"/>
              <bgColor theme="0" tint="-0.34998626667073579"/>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0"/>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sz val="18"/>
            <color theme="0"/>
          </font>
          <fill>
            <patternFill patternType="solid">
              <fgColor theme="9" tint="-0.499984740745262"/>
              <bgColor rgb="FF3E5F27"/>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rgb="FF578537"/>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0"/>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tint="-0.499984740745262"/>
              <bgColor rgb="FF3E5F27"/>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0"/>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0" tint="-0.34998626667073579"/>
              <bgColor theme="0" tint="-0.34998626667073579"/>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rgb="FF375723"/>
              <bgColor rgb="FF3A5925"/>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6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6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21" Type="http://schemas.microsoft.com/office/2017/10/relationships/person" Target="persons/person1.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10/relationships/person" Target="persons/person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6.xml"/><Relationship Id="rId1" Type="http://schemas.microsoft.com/office/2011/relationships/chartStyle" Target="style16.xml"/></Relationships>
</file>

<file path=xl/charts/_rels/chartEx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mn-lt"/>
              </a:rPr>
              <a:t>Top</a:t>
            </a:r>
            <a:r>
              <a:rPr lang="en-US" baseline="0">
                <a:latin typeface="+mn-lt"/>
              </a:rPr>
              <a:t> 5 Perfo</a:t>
            </a:r>
            <a:r>
              <a:rPr lang="en-US">
                <a:latin typeface="+mn-lt"/>
              </a:rPr>
              <a:t>rming</a:t>
            </a:r>
            <a:r>
              <a:rPr lang="en-US" baseline="0">
                <a:latin typeface="+mn-lt"/>
              </a:rPr>
              <a:t> Cities by Revenue</a:t>
            </a:r>
            <a:endParaRPr lang="en-US">
              <a:latin typeface="+mn-lt"/>
            </a:endParaRPr>
          </a:p>
        </c:rich>
      </c:tx>
      <c:layout>
        <c:manualLayout>
          <c:xMode val="edge"/>
          <c:yMode val="edge"/>
          <c:x val="2.7355584545383966E-2"/>
          <c:y val="2.477557619796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F7B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F7B31"/>
          </a:solidFill>
          <a:ln>
            <a:noFill/>
          </a:ln>
          <a:effectLst/>
        </c:spPr>
        <c:dLbl>
          <c:idx val="0"/>
          <c:layout>
            <c:manualLayout>
              <c:x val="-4.859486090655612E-3"/>
              <c:y val="-0.297466767374668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F7B31"/>
          </a:solidFill>
          <a:ln>
            <a:noFill/>
          </a:ln>
          <a:effectLst/>
        </c:spPr>
        <c:dLbl>
          <c:idx val="0"/>
          <c:layout>
            <c:manualLayout>
              <c:x val="-2.0494914812048743E-4"/>
              <c:y val="-0.351205450414506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F7B31"/>
          </a:solidFill>
          <a:ln>
            <a:noFill/>
          </a:ln>
          <a:effectLst/>
        </c:spPr>
        <c:dLbl>
          <c:idx val="0"/>
          <c:layout>
            <c:manualLayout>
              <c:x val="-5.9293464236121862E-4"/>
              <c:y val="-0.279297703816955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F7B31"/>
          </a:solidFill>
          <a:ln>
            <a:noFill/>
          </a:ln>
          <a:effectLst/>
        </c:spPr>
        <c:dLbl>
          <c:idx val="0"/>
          <c:layout>
            <c:manualLayout>
              <c:x val="-3.866965058877121E-3"/>
              <c:y val="-0.267872117081173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F7B31"/>
          </a:solidFill>
          <a:ln>
            <a:noFill/>
          </a:ln>
          <a:effectLst/>
        </c:spPr>
        <c:dLbl>
          <c:idx val="0"/>
          <c:layout>
            <c:manualLayout>
              <c:x val="-4.9626051588911051E-4"/>
              <c:y val="-0.450891143990107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4.9626051588911051E-4"/>
              <c:y val="-0.450891143990107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ANALYSIS'!$B$48</c:f>
              <c:strCache>
                <c:ptCount val="1"/>
                <c:pt idx="0">
                  <c:v>Total</c:v>
                </c:pt>
              </c:strCache>
            </c:strRef>
          </c:tx>
          <c:spPr>
            <a:solidFill>
              <a:srgbClr val="4F7B31"/>
            </a:solidFill>
            <a:ln>
              <a:noFill/>
            </a:ln>
            <a:effectLst/>
          </c:spPr>
          <c:dPt>
            <c:idx val="0"/>
            <c:bubble3D val="0"/>
            <c:extLst>
              <c:ext xmlns:c16="http://schemas.microsoft.com/office/drawing/2014/chart" uri="{C3380CC4-5D6E-409C-BE32-E72D297353CC}">
                <c16:uniqueId val="{00000006-ACAB-4C96-B566-469EE7D40104}"/>
              </c:ext>
            </c:extLst>
          </c:dPt>
          <c:dPt>
            <c:idx val="1"/>
            <c:bubble3D val="0"/>
            <c:extLst>
              <c:ext xmlns:c16="http://schemas.microsoft.com/office/drawing/2014/chart" uri="{C3380CC4-5D6E-409C-BE32-E72D297353CC}">
                <c16:uniqueId val="{00000005-ACAB-4C96-B566-469EE7D40104}"/>
              </c:ext>
            </c:extLst>
          </c:dPt>
          <c:dPt>
            <c:idx val="2"/>
            <c:bubble3D val="0"/>
            <c:extLst>
              <c:ext xmlns:c16="http://schemas.microsoft.com/office/drawing/2014/chart" uri="{C3380CC4-5D6E-409C-BE32-E72D297353CC}">
                <c16:uniqueId val="{00000004-ACAB-4C96-B566-469EE7D40104}"/>
              </c:ext>
            </c:extLst>
          </c:dPt>
          <c:dPt>
            <c:idx val="3"/>
            <c:bubble3D val="0"/>
            <c:extLst>
              <c:ext xmlns:c16="http://schemas.microsoft.com/office/drawing/2014/chart" uri="{C3380CC4-5D6E-409C-BE32-E72D297353CC}">
                <c16:uniqueId val="{00000003-ACAB-4C96-B566-469EE7D40104}"/>
              </c:ext>
            </c:extLst>
          </c:dPt>
          <c:dPt>
            <c:idx val="4"/>
            <c:bubble3D val="0"/>
            <c:extLst>
              <c:ext xmlns:c16="http://schemas.microsoft.com/office/drawing/2014/chart" uri="{C3380CC4-5D6E-409C-BE32-E72D297353CC}">
                <c16:uniqueId val="{00000002-ACAB-4C96-B566-469EE7D40104}"/>
              </c:ext>
            </c:extLst>
          </c:dPt>
          <c:dLbls>
            <c:dLbl>
              <c:idx val="0"/>
              <c:layout>
                <c:manualLayout>
                  <c:x val="-4.9626051588911051E-4"/>
                  <c:y val="-0.450891143990107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AB-4C96-B566-469EE7D40104}"/>
                </c:ext>
              </c:extLst>
            </c:dLbl>
            <c:dLbl>
              <c:idx val="1"/>
              <c:layout>
                <c:manualLayout>
                  <c:x val="-3.866965058877121E-3"/>
                  <c:y val="-0.267872117081173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AB-4C96-B566-469EE7D40104}"/>
                </c:ext>
              </c:extLst>
            </c:dLbl>
            <c:dLbl>
              <c:idx val="2"/>
              <c:layout>
                <c:manualLayout>
                  <c:x val="-5.9293464236121862E-4"/>
                  <c:y val="-0.279297703816955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AB-4C96-B566-469EE7D40104}"/>
                </c:ext>
              </c:extLst>
            </c:dLbl>
            <c:dLbl>
              <c:idx val="3"/>
              <c:layout>
                <c:manualLayout>
                  <c:x val="-4.859486090655612E-3"/>
                  <c:y val="-0.297466767374668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AB-4C96-B566-469EE7D40104}"/>
                </c:ext>
              </c:extLst>
            </c:dLbl>
            <c:dLbl>
              <c:idx val="4"/>
              <c:layout>
                <c:manualLayout>
                  <c:x val="-2.0494914812048743E-4"/>
                  <c:y val="-0.351205450414506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AB-4C96-B566-469EE7D401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ANALYSIS'!$A$49:$A$54</c:f>
              <c:strCache>
                <c:ptCount val="5"/>
                <c:pt idx="0">
                  <c:v>Chicago</c:v>
                </c:pt>
                <c:pt idx="1">
                  <c:v>Memphis</c:v>
                </c:pt>
                <c:pt idx="2">
                  <c:v>Miami</c:v>
                </c:pt>
                <c:pt idx="3">
                  <c:v>Portland</c:v>
                </c:pt>
                <c:pt idx="4">
                  <c:v>New York</c:v>
                </c:pt>
              </c:strCache>
            </c:strRef>
          </c:cat>
          <c:val>
            <c:numRef>
              <c:f>'PIVOT ANALYSIS'!$B$49:$B$54</c:f>
              <c:numCache>
                <c:formatCode>"$"#,##0.00</c:formatCode>
                <c:ptCount val="5"/>
                <c:pt idx="0">
                  <c:v>41095.01</c:v>
                </c:pt>
                <c:pt idx="1">
                  <c:v>43713</c:v>
                </c:pt>
                <c:pt idx="2">
                  <c:v>50145.330000000009</c:v>
                </c:pt>
                <c:pt idx="3">
                  <c:v>50208.35</c:v>
                </c:pt>
                <c:pt idx="4">
                  <c:v>67180.5</c:v>
                </c:pt>
              </c:numCache>
            </c:numRef>
          </c:val>
          <c:extLst>
            <c:ext xmlns:c16="http://schemas.microsoft.com/office/drawing/2014/chart" uri="{C3380CC4-5D6E-409C-BE32-E72D297353CC}">
              <c16:uniqueId val="{00000000-ACAB-4C96-B566-469EE7D40104}"/>
            </c:ext>
          </c:extLst>
        </c:ser>
        <c:dLbls>
          <c:showLegendKey val="0"/>
          <c:showVal val="0"/>
          <c:showCatName val="0"/>
          <c:showSerName val="0"/>
          <c:showPercent val="0"/>
          <c:showBubbleSize val="0"/>
        </c:dLbls>
        <c:axId val="2127337712"/>
        <c:axId val="2127333392"/>
      </c:areaChart>
      <c:catAx>
        <c:axId val="2127337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333392"/>
        <c:crosses val="autoZero"/>
        <c:auto val="1"/>
        <c:lblAlgn val="ctr"/>
        <c:lblOffset val="100"/>
        <c:noMultiLvlLbl val="0"/>
      </c:catAx>
      <c:valAx>
        <c:axId val="2127333392"/>
        <c:scaling>
          <c:orientation val="minMax"/>
        </c:scaling>
        <c:delete val="1"/>
        <c:axPos val="l"/>
        <c:numFmt formatCode="&quot;$&quot;#,##0.00" sourceLinked="1"/>
        <c:majorTickMark val="none"/>
        <c:minorTickMark val="none"/>
        <c:tickLblPos val="nextTo"/>
        <c:crossAx val="2127337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alpha val="74000"/>
        </a:schemeClr>
      </a:solidFill>
      <a:round/>
    </a:ln>
    <a:effectLst>
      <a:outerShdw blurRad="50800" dist="38100" dir="2700000" algn="tl" rotWithShape="0">
        <a:schemeClr val="accent5">
          <a:lumMod val="50000"/>
          <a:alpha val="37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Bahnschrift Light" panose="020B0502040204020203" pitchFamily="34" charset="0"/>
              </a:rPr>
              <a:t>Top</a:t>
            </a:r>
            <a:r>
              <a:rPr lang="en-US" baseline="0">
                <a:latin typeface="Bahnschrift Light" panose="020B0502040204020203" pitchFamily="34" charset="0"/>
              </a:rPr>
              <a:t> 6 Ship Cities by Revenue</a:t>
            </a:r>
            <a:endParaRPr lang="en-US">
              <a:latin typeface="Bahnschrift Ligh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3654006480710759"/>
          <c:y val="0.17479357530357742"/>
          <c:w val="0.49979185026075407"/>
          <c:h val="0.82069420008148175"/>
        </c:manualLayout>
      </c:layout>
      <c:doughnutChart>
        <c:varyColors val="1"/>
        <c:ser>
          <c:idx val="0"/>
          <c:order val="0"/>
          <c:tx>
            <c:strRef>
              <c:f>'PIVOT ANALYSIS'!$B$96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085D-4827-85AD-0B6F964C2C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085D-4827-85AD-0B6F964C2C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085D-4827-85AD-0B6F964C2C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5D-4827-85AD-0B6F964C2C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085D-4827-85AD-0B6F964C2C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2-085D-4827-85AD-0B6F964C2C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ANALYSIS'!$A$97:$A$103</c:f>
              <c:strCache>
                <c:ptCount val="6"/>
                <c:pt idx="0">
                  <c:v>New York</c:v>
                </c:pt>
                <c:pt idx="1">
                  <c:v>Portland</c:v>
                </c:pt>
                <c:pt idx="2">
                  <c:v>Miami</c:v>
                </c:pt>
                <c:pt idx="3">
                  <c:v>Memphis</c:v>
                </c:pt>
                <c:pt idx="4">
                  <c:v>Chicago</c:v>
                </c:pt>
                <c:pt idx="5">
                  <c:v>Milwaukee</c:v>
                </c:pt>
              </c:strCache>
            </c:strRef>
          </c:cat>
          <c:val>
            <c:numRef>
              <c:f>'PIVOT ANALYSIS'!$B$97:$B$103</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0-085D-4827-85AD-0B6F964C2CE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4"/>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egendEntry>
        <c:idx val="5"/>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2061371637531701"/>
          <c:y val="0.12456823282993802"/>
          <c:w val="0.26266269016777805"/>
          <c:h val="0.769234904684059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5">
          <a:alpha val="53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PERFORMANCE BY PRODUT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6">
              <a:lumMod val="20000"/>
              <a:lumOff val="80000"/>
            </a:schemeClr>
          </a:solidFill>
          <a:ln>
            <a:noFill/>
          </a:ln>
          <a:effectLst/>
        </c:spPr>
      </c:pivotFmt>
      <c:pivotFmt>
        <c:idx val="6"/>
        <c:spPr>
          <a:solidFill>
            <a:schemeClr val="accent6">
              <a:lumMod val="75000"/>
            </a:schemeClr>
          </a:solidFill>
          <a:ln>
            <a:noFill/>
          </a:ln>
          <a:effectLst/>
        </c:spPr>
      </c:pivotFmt>
    </c:pivotFmts>
    <c:plotArea>
      <c:layout/>
      <c:barChart>
        <c:barDir val="col"/>
        <c:grouping val="clustered"/>
        <c:varyColors val="0"/>
        <c:ser>
          <c:idx val="0"/>
          <c:order val="0"/>
          <c:tx>
            <c:strRef>
              <c:f>'PIVOT ANALYSIS'!$B$69</c:f>
              <c:strCache>
                <c:ptCount val="1"/>
                <c:pt idx="0">
                  <c:v>Total</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21D0-4D06-B617-5916AD047594}"/>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21D0-4D06-B617-5916AD047594}"/>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21D0-4D06-B617-5916AD047594}"/>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21D0-4D06-B617-5916AD047594}"/>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6-21D0-4D06-B617-5916AD0475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ANALYSIS'!$A$70:$A$75</c:f>
              <c:strCache>
                <c:ptCount val="5"/>
                <c:pt idx="0">
                  <c:v>Beverages</c:v>
                </c:pt>
                <c:pt idx="1">
                  <c:v>Sauces</c:v>
                </c:pt>
                <c:pt idx="2">
                  <c:v>Jams, Preserves</c:v>
                </c:pt>
                <c:pt idx="3">
                  <c:v>Dairy Products</c:v>
                </c:pt>
                <c:pt idx="4">
                  <c:v>Dried Fruit &amp; Nuts</c:v>
                </c:pt>
              </c:strCache>
            </c:strRef>
          </c:cat>
          <c:val>
            <c:numRef>
              <c:f>'PIVOT ANALYSIS'!$B$70:$B$75</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00-21D0-4D06-B617-5916AD047594}"/>
            </c:ext>
          </c:extLst>
        </c:ser>
        <c:dLbls>
          <c:dLblPos val="outEnd"/>
          <c:showLegendKey val="0"/>
          <c:showVal val="1"/>
          <c:showCatName val="0"/>
          <c:showSerName val="0"/>
          <c:showPercent val="0"/>
          <c:showBubbleSize val="0"/>
        </c:dLbls>
        <c:gapWidth val="219"/>
        <c:overlap val="-27"/>
        <c:axId val="114457072"/>
        <c:axId val="114436912"/>
      </c:barChart>
      <c:catAx>
        <c:axId val="11445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36912"/>
        <c:crosses val="autoZero"/>
        <c:auto val="1"/>
        <c:lblAlgn val="ctr"/>
        <c:lblOffset val="100"/>
        <c:noMultiLvlLbl val="0"/>
      </c:catAx>
      <c:valAx>
        <c:axId val="114436912"/>
        <c:scaling>
          <c:orientation val="minMax"/>
        </c:scaling>
        <c:delete val="1"/>
        <c:axPos val="l"/>
        <c:numFmt formatCode="&quot;$&quot;#,##0.00" sourceLinked="1"/>
        <c:majorTickMark val="none"/>
        <c:minorTickMark val="none"/>
        <c:tickLblPos val="nextTo"/>
        <c:crossAx val="11445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5">
          <a:lumMod val="5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Report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48663289214618E-3"/>
          <c:y val="6.3824438107593556E-2"/>
          <c:w val="0.97589729046503315"/>
          <c:h val="0.85861577131737243"/>
        </c:manualLayout>
      </c:layout>
      <c:lineChart>
        <c:grouping val="standard"/>
        <c:varyColors val="0"/>
        <c:ser>
          <c:idx val="0"/>
          <c:order val="0"/>
          <c:tx>
            <c:strRef>
              <c:f>'PIVOT ANALYSIS'!$B$142</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ANALYSIS'!$A$143:$A$155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ANALYSIS'!$B$143:$B$155</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0D52-4EDE-A7E5-D5B6C98543A1}"/>
            </c:ext>
          </c:extLst>
        </c:ser>
        <c:dLbls>
          <c:dLblPos val="t"/>
          <c:showLegendKey val="0"/>
          <c:showVal val="1"/>
          <c:showCatName val="0"/>
          <c:showSerName val="0"/>
          <c:showPercent val="0"/>
          <c:showBubbleSize val="0"/>
        </c:dLbls>
        <c:smooth val="0"/>
        <c:axId val="1229516511"/>
        <c:axId val="1229519391"/>
      </c:lineChart>
      <c:catAx>
        <c:axId val="122951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19391"/>
        <c:crosses val="autoZero"/>
        <c:auto val="1"/>
        <c:lblAlgn val="ctr"/>
        <c:lblOffset val="100"/>
        <c:noMultiLvlLbl val="0"/>
      </c:catAx>
      <c:valAx>
        <c:axId val="1229519391"/>
        <c:scaling>
          <c:orientation val="minMax"/>
        </c:scaling>
        <c:delete val="1"/>
        <c:axPos val="l"/>
        <c:numFmt formatCode="&quot;$&quot;#,##0.00" sourceLinked="1"/>
        <c:majorTickMark val="none"/>
        <c:minorTickMark val="none"/>
        <c:tickLblPos val="nextTo"/>
        <c:crossAx val="122951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6">
          <a:alpha val="51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layout>
        <c:manualLayout>
          <c:xMode val="edge"/>
          <c:yMode val="edge"/>
          <c:x val="2.8756088667864835E-2"/>
          <c:y val="3.8388348847593859E-2"/>
        </c:manualLayout>
      </c:layout>
      <c:overlay val="0"/>
      <c:spPr>
        <a:noFill/>
        <a:ln>
          <a:noFill/>
        </a:ln>
        <a:effectLst/>
      </c:sp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layout>
            <c:manualLayout>
              <c:x val="-3.5466905458358081E-2"/>
              <c:y val="-9.8573586789998599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layout>
            <c:manualLayout>
              <c:x val="-8.2017129170084066E-2"/>
              <c:y val="-4.5368048638065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layout>
            <c:manualLayout>
              <c:x val="-7.5367091669806985E-2"/>
              <c:y val="-6.97969979047161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layout>
            <c:manualLayout>
              <c:x val="-0.13078407083878271"/>
              <c:y val="4.5368048638065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6191748264354019"/>
              <c:y val="0.12512260122265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layout>
            <c:manualLayout>
              <c:x val="-0.14370477612305022"/>
              <c:y val="0.168972291281059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layout>
            <c:manualLayout>
              <c:x val="-1.1183355789408819E-2"/>
              <c:y val="0.197759045396999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layout>
            <c:manualLayout>
              <c:x val="7.2010781749434732E-2"/>
              <c:y val="0.2046825305670159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ln w="28575" cap="rnd">
            <a:solidFill>
              <a:schemeClr val="accent6"/>
            </a:solidFill>
            <a:round/>
          </a:ln>
          <a:effectLst/>
        </c:spPr>
        <c:marker>
          <c:symbol val="none"/>
        </c:marker>
        <c:dLbl>
          <c:idx val="0"/>
          <c:layout>
            <c:manualLayout>
              <c:x val="0.16901049187747608"/>
              <c:y val="0.182192093008664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41727501710072"/>
                  <c:h val="2.4376738913887266E-2"/>
                </c:manualLayout>
              </c15:layout>
            </c:ext>
          </c:extLst>
        </c:dLbl>
      </c:pivotFmt>
      <c:pivotFmt>
        <c:idx val="10"/>
        <c:spPr>
          <a:ln w="28575" cap="rnd">
            <a:solidFill>
              <a:schemeClr val="accent6"/>
            </a:solidFill>
            <a:round/>
          </a:ln>
          <a:effectLst/>
        </c:spPr>
        <c:marker>
          <c:symbol val="none"/>
        </c:marker>
        <c:dLbl>
          <c:idx val="0"/>
          <c:layout>
            <c:manualLayout>
              <c:x val="0.22036501909489473"/>
              <c:y val="0.150697028299330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25187163966772919"/>
              <c:y val="-3.62197003539263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2361296621884961"/>
              <c:y val="6.91467006756776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15517092086672601"/>
              <c:y val="-0.286464902799235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8.2457024721587327E-17"/>
              <c:y val="-0.385245903764489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17541060619716844"/>
              <c:y val="-0.217318202123558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0204481835732"/>
          <c:y val="0.11106589394933873"/>
          <c:w val="0.8738979551816427"/>
          <c:h val="0.83821908598247008"/>
        </c:manualLayout>
      </c:layout>
      <c:radarChart>
        <c:radarStyle val="marker"/>
        <c:varyColors val="0"/>
        <c:ser>
          <c:idx val="0"/>
          <c:order val="0"/>
          <c:tx>
            <c:strRef>
              <c:f>'PIVOT ANALYSIS'!$B$191</c:f>
              <c:strCache>
                <c:ptCount val="1"/>
                <c:pt idx="0">
                  <c:v>Total</c:v>
                </c:pt>
              </c:strCache>
            </c:strRef>
          </c:tx>
          <c:spPr>
            <a:ln w="28575" cap="rnd">
              <a:solidFill>
                <a:schemeClr val="accent6"/>
              </a:solidFill>
              <a:round/>
            </a:ln>
            <a:effectLst/>
          </c:spPr>
          <c:marker>
            <c:symbol val="none"/>
          </c:marker>
          <c:dPt>
            <c:idx val="0"/>
            <c:bubble3D val="0"/>
            <c:extLst>
              <c:ext xmlns:c16="http://schemas.microsoft.com/office/drawing/2014/chart" uri="{C3380CC4-5D6E-409C-BE32-E72D297353CC}">
                <c16:uniqueId val="{0000000B-6299-4947-9B7E-FD78D1F73717}"/>
              </c:ext>
            </c:extLst>
          </c:dPt>
          <c:dPt>
            <c:idx val="1"/>
            <c:bubble3D val="0"/>
            <c:extLst>
              <c:ext xmlns:c16="http://schemas.microsoft.com/office/drawing/2014/chart" uri="{C3380CC4-5D6E-409C-BE32-E72D297353CC}">
                <c16:uniqueId val="{0000000A-6299-4947-9B7E-FD78D1F73717}"/>
              </c:ext>
            </c:extLst>
          </c:dPt>
          <c:dPt>
            <c:idx val="2"/>
            <c:bubble3D val="0"/>
            <c:extLst>
              <c:ext xmlns:c16="http://schemas.microsoft.com/office/drawing/2014/chart" uri="{C3380CC4-5D6E-409C-BE32-E72D297353CC}">
                <c16:uniqueId val="{00000009-6299-4947-9B7E-FD78D1F73717}"/>
              </c:ext>
            </c:extLst>
          </c:dPt>
          <c:dPt>
            <c:idx val="3"/>
            <c:bubble3D val="0"/>
            <c:extLst>
              <c:ext xmlns:c16="http://schemas.microsoft.com/office/drawing/2014/chart" uri="{C3380CC4-5D6E-409C-BE32-E72D297353CC}">
                <c16:uniqueId val="{00000008-6299-4947-9B7E-FD78D1F73717}"/>
              </c:ext>
            </c:extLst>
          </c:dPt>
          <c:dPt>
            <c:idx val="4"/>
            <c:bubble3D val="0"/>
            <c:extLst>
              <c:ext xmlns:c16="http://schemas.microsoft.com/office/drawing/2014/chart" uri="{C3380CC4-5D6E-409C-BE32-E72D297353CC}">
                <c16:uniqueId val="{00000007-6299-4947-9B7E-FD78D1F73717}"/>
              </c:ext>
            </c:extLst>
          </c:dPt>
          <c:dPt>
            <c:idx val="5"/>
            <c:bubble3D val="0"/>
            <c:extLst>
              <c:ext xmlns:c16="http://schemas.microsoft.com/office/drawing/2014/chart" uri="{C3380CC4-5D6E-409C-BE32-E72D297353CC}">
                <c16:uniqueId val="{00000006-6299-4947-9B7E-FD78D1F73717}"/>
              </c:ext>
            </c:extLst>
          </c:dPt>
          <c:dPt>
            <c:idx val="6"/>
            <c:bubble3D val="0"/>
            <c:extLst>
              <c:ext xmlns:c16="http://schemas.microsoft.com/office/drawing/2014/chart" uri="{C3380CC4-5D6E-409C-BE32-E72D297353CC}">
                <c16:uniqueId val="{00000005-6299-4947-9B7E-FD78D1F73717}"/>
              </c:ext>
            </c:extLst>
          </c:dPt>
          <c:dPt>
            <c:idx val="7"/>
            <c:bubble3D val="0"/>
            <c:extLst>
              <c:ext xmlns:c16="http://schemas.microsoft.com/office/drawing/2014/chart" uri="{C3380CC4-5D6E-409C-BE32-E72D297353CC}">
                <c16:uniqueId val="{00000004-6299-4947-9B7E-FD78D1F73717}"/>
              </c:ext>
            </c:extLst>
          </c:dPt>
          <c:dPt>
            <c:idx val="8"/>
            <c:bubble3D val="0"/>
            <c:extLst>
              <c:ext xmlns:c16="http://schemas.microsoft.com/office/drawing/2014/chart" uri="{C3380CC4-5D6E-409C-BE32-E72D297353CC}">
                <c16:uniqueId val="{00000003-6299-4947-9B7E-FD78D1F73717}"/>
              </c:ext>
            </c:extLst>
          </c:dPt>
          <c:dPt>
            <c:idx val="9"/>
            <c:bubble3D val="0"/>
            <c:extLst>
              <c:ext xmlns:c16="http://schemas.microsoft.com/office/drawing/2014/chart" uri="{C3380CC4-5D6E-409C-BE32-E72D297353CC}">
                <c16:uniqueId val="{00000002-6299-4947-9B7E-FD78D1F73717}"/>
              </c:ext>
            </c:extLst>
          </c:dPt>
          <c:dPt>
            <c:idx val="10"/>
            <c:bubble3D val="0"/>
            <c:extLst>
              <c:ext xmlns:c16="http://schemas.microsoft.com/office/drawing/2014/chart" uri="{C3380CC4-5D6E-409C-BE32-E72D297353CC}">
                <c16:uniqueId val="{0000000A-2931-4337-8469-C7EFC2E70B1B}"/>
              </c:ext>
            </c:extLst>
          </c:dPt>
          <c:dPt>
            <c:idx val="11"/>
            <c:bubble3D val="0"/>
            <c:extLst>
              <c:ext xmlns:c16="http://schemas.microsoft.com/office/drawing/2014/chart" uri="{C3380CC4-5D6E-409C-BE32-E72D297353CC}">
                <c16:uniqueId val="{0000000B-2931-4337-8469-C7EFC2E70B1B}"/>
              </c:ext>
            </c:extLst>
          </c:dPt>
          <c:dPt>
            <c:idx val="12"/>
            <c:bubble3D val="0"/>
            <c:extLst>
              <c:ext xmlns:c16="http://schemas.microsoft.com/office/drawing/2014/chart" uri="{C3380CC4-5D6E-409C-BE32-E72D297353CC}">
                <c16:uniqueId val="{0000000C-2931-4337-8469-C7EFC2E70B1B}"/>
              </c:ext>
            </c:extLst>
          </c:dPt>
          <c:dPt>
            <c:idx val="13"/>
            <c:bubble3D val="0"/>
            <c:extLst>
              <c:ext xmlns:c16="http://schemas.microsoft.com/office/drawing/2014/chart" uri="{C3380CC4-5D6E-409C-BE32-E72D297353CC}">
                <c16:uniqueId val="{0000000D-2931-4337-8469-C7EFC2E70B1B}"/>
              </c:ext>
            </c:extLst>
          </c:dPt>
          <c:dPt>
            <c:idx val="14"/>
            <c:bubble3D val="0"/>
            <c:extLst>
              <c:ext xmlns:c16="http://schemas.microsoft.com/office/drawing/2014/chart" uri="{C3380CC4-5D6E-409C-BE32-E72D297353CC}">
                <c16:uniqueId val="{0000000E-2931-4337-8469-C7EFC2E70B1B}"/>
              </c:ext>
            </c:extLst>
          </c:dPt>
          <c:dLbls>
            <c:dLbl>
              <c:idx val="0"/>
              <c:layout>
                <c:manualLayout>
                  <c:x val="-8.2457024721587327E-17"/>
                  <c:y val="-0.385245903764489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299-4947-9B7E-FD78D1F73717}"/>
                </c:ext>
              </c:extLst>
            </c:dLbl>
            <c:dLbl>
              <c:idx val="1"/>
              <c:layout>
                <c:manualLayout>
                  <c:x val="0.15517092086672601"/>
                  <c:y val="-0.286464902799235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299-4947-9B7E-FD78D1F73717}"/>
                </c:ext>
              </c:extLst>
            </c:dLbl>
            <c:dLbl>
              <c:idx val="2"/>
              <c:layout>
                <c:manualLayout>
                  <c:x val="0.17541060619716844"/>
                  <c:y val="-0.217318202123558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299-4947-9B7E-FD78D1F73717}"/>
                </c:ext>
              </c:extLst>
            </c:dLbl>
            <c:dLbl>
              <c:idx val="3"/>
              <c:layout>
                <c:manualLayout>
                  <c:x val="0.25187163966772919"/>
                  <c:y val="-3.62197003539263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299-4947-9B7E-FD78D1F73717}"/>
                </c:ext>
              </c:extLst>
            </c:dLbl>
            <c:dLbl>
              <c:idx val="4"/>
              <c:layout>
                <c:manualLayout>
                  <c:x val="0.2361296621884961"/>
                  <c:y val="6.91467006756776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299-4947-9B7E-FD78D1F73717}"/>
                </c:ext>
              </c:extLst>
            </c:dLbl>
            <c:dLbl>
              <c:idx val="5"/>
              <c:layout>
                <c:manualLayout>
                  <c:x val="0.22036501909489473"/>
                  <c:y val="0.150697028299330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299-4947-9B7E-FD78D1F73717}"/>
                </c:ext>
              </c:extLst>
            </c:dLbl>
            <c:dLbl>
              <c:idx val="6"/>
              <c:layout>
                <c:manualLayout>
                  <c:x val="0.16901049187747608"/>
                  <c:y val="0.18219209300866435"/>
                </c:manualLayout>
              </c:layout>
              <c:showLegendKey val="0"/>
              <c:showVal val="1"/>
              <c:showCatName val="0"/>
              <c:showSerName val="0"/>
              <c:showPercent val="0"/>
              <c:showBubbleSize val="0"/>
              <c:extLst>
                <c:ext xmlns:c15="http://schemas.microsoft.com/office/drawing/2012/chart" uri="{CE6537A1-D6FC-4f65-9D91-7224C49458BB}">
                  <c15:layout>
                    <c:manualLayout>
                      <c:w val="0.1041727501710072"/>
                      <c:h val="2.4376738913887266E-2"/>
                    </c:manualLayout>
                  </c15:layout>
                </c:ext>
                <c:ext xmlns:c16="http://schemas.microsoft.com/office/drawing/2014/chart" uri="{C3380CC4-5D6E-409C-BE32-E72D297353CC}">
                  <c16:uniqueId val="{00000005-6299-4947-9B7E-FD78D1F73717}"/>
                </c:ext>
              </c:extLst>
            </c:dLbl>
            <c:dLbl>
              <c:idx val="7"/>
              <c:layout>
                <c:manualLayout>
                  <c:x val="7.2010781749434732E-2"/>
                  <c:y val="0.2046825305670159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4-6299-4947-9B7E-FD78D1F73717}"/>
                </c:ext>
              </c:extLst>
            </c:dLbl>
            <c:dLbl>
              <c:idx val="8"/>
              <c:layout>
                <c:manualLayout>
                  <c:x val="-1.1183355789408819E-2"/>
                  <c:y val="0.197759045396999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99-4947-9B7E-FD78D1F73717}"/>
                </c:ext>
              </c:extLst>
            </c:dLbl>
            <c:dLbl>
              <c:idx val="9"/>
              <c:layout>
                <c:manualLayout>
                  <c:x val="-0.14370477612305022"/>
                  <c:y val="0.168972291281059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99-4947-9B7E-FD78D1F73717}"/>
                </c:ext>
              </c:extLst>
            </c:dLbl>
            <c:dLbl>
              <c:idx val="10"/>
              <c:layout>
                <c:manualLayout>
                  <c:x val="-0.16191748264354019"/>
                  <c:y val="0.12512260122265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931-4337-8469-C7EFC2E70B1B}"/>
                </c:ext>
              </c:extLst>
            </c:dLbl>
            <c:dLbl>
              <c:idx val="11"/>
              <c:layout>
                <c:manualLayout>
                  <c:x val="-0.13078407083878271"/>
                  <c:y val="4.53680486380653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931-4337-8469-C7EFC2E70B1B}"/>
                </c:ext>
              </c:extLst>
            </c:dLbl>
            <c:dLbl>
              <c:idx val="12"/>
              <c:layout>
                <c:manualLayout>
                  <c:x val="-7.5367091669806985E-2"/>
                  <c:y val="-6.97969979047161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931-4337-8469-C7EFC2E70B1B}"/>
                </c:ext>
              </c:extLst>
            </c:dLbl>
            <c:dLbl>
              <c:idx val="13"/>
              <c:layout>
                <c:manualLayout>
                  <c:x val="-8.2017129170084066E-2"/>
                  <c:y val="-4.536804863806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931-4337-8469-C7EFC2E70B1B}"/>
                </c:ext>
              </c:extLst>
            </c:dLbl>
            <c:dLbl>
              <c:idx val="14"/>
              <c:layout>
                <c:manualLayout>
                  <c:x val="-3.5466905458358081E-2"/>
                  <c:y val="-9.857358678999859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931-4337-8469-C7EFC2E70B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ANALYSIS'!$A$192:$A$207</c:f>
              <c:strCache>
                <c:ptCount val="15"/>
                <c:pt idx="0">
                  <c:v>Company AA</c:v>
                </c:pt>
                <c:pt idx="1">
                  <c:v>Company Y</c:v>
                </c:pt>
                <c:pt idx="2">
                  <c:v>Company L</c:v>
                </c:pt>
                <c:pt idx="3">
                  <c:v>Company CC</c:v>
                </c:pt>
                <c:pt idx="4">
                  <c:v>Company G</c:v>
                </c:pt>
                <c:pt idx="5">
                  <c:v>Company K</c:v>
                </c:pt>
                <c:pt idx="6">
                  <c:v>Company C</c:v>
                </c:pt>
                <c:pt idx="7">
                  <c:v>Company Z</c:v>
                </c:pt>
                <c:pt idx="8">
                  <c:v>Company J</c:v>
                </c:pt>
                <c:pt idx="9">
                  <c:v>Company I</c:v>
                </c:pt>
                <c:pt idx="10">
                  <c:v>Company A</c:v>
                </c:pt>
                <c:pt idx="11">
                  <c:v>Company F</c:v>
                </c:pt>
                <c:pt idx="12">
                  <c:v>Company BB</c:v>
                </c:pt>
                <c:pt idx="13">
                  <c:v>Company H</c:v>
                </c:pt>
                <c:pt idx="14">
                  <c:v>Company D</c:v>
                </c:pt>
              </c:strCache>
            </c:strRef>
          </c:cat>
          <c:val>
            <c:numRef>
              <c:f>'PIVOT ANALYSIS'!$B$192:$B$207</c:f>
              <c:numCache>
                <c:formatCode>"$"#,##0.00</c:formatCode>
                <c:ptCount val="15"/>
                <c:pt idx="0">
                  <c:v>1291.5</c:v>
                </c:pt>
                <c:pt idx="1">
                  <c:v>11962</c:v>
                </c:pt>
                <c:pt idx="2">
                  <c:v>14074</c:v>
                </c:pt>
                <c:pt idx="3">
                  <c:v>16350.5</c:v>
                </c:pt>
                <c:pt idx="4">
                  <c:v>17204</c:v>
                </c:pt>
                <c:pt idx="5">
                  <c:v>21937.08</c:v>
                </c:pt>
                <c:pt idx="6">
                  <c:v>27005.38</c:v>
                </c:pt>
                <c:pt idx="7">
                  <c:v>28208.250000000007</c:v>
                </c:pt>
                <c:pt idx="8">
                  <c:v>29133.009999999995</c:v>
                </c:pt>
                <c:pt idx="9">
                  <c:v>32530.6</c:v>
                </c:pt>
                <c:pt idx="10">
                  <c:v>36839.990000000005</c:v>
                </c:pt>
                <c:pt idx="11">
                  <c:v>37428</c:v>
                </c:pt>
                <c:pt idx="12">
                  <c:v>43713</c:v>
                </c:pt>
                <c:pt idx="13">
                  <c:v>50208.35</c:v>
                </c:pt>
                <c:pt idx="14">
                  <c:v>67180.5</c:v>
                </c:pt>
              </c:numCache>
            </c:numRef>
          </c:val>
          <c:extLst>
            <c:ext xmlns:c16="http://schemas.microsoft.com/office/drawing/2014/chart" uri="{C3380CC4-5D6E-409C-BE32-E72D297353CC}">
              <c16:uniqueId val="{00000000-6299-4947-9B7E-FD78D1F73717}"/>
            </c:ext>
          </c:extLst>
        </c:ser>
        <c:dLbls>
          <c:showLegendKey val="0"/>
          <c:showVal val="0"/>
          <c:showCatName val="0"/>
          <c:showSerName val="0"/>
          <c:showPercent val="0"/>
          <c:showBubbleSize val="0"/>
        </c:dLbls>
        <c:axId val="959553343"/>
        <c:axId val="959557183"/>
      </c:radarChart>
      <c:catAx>
        <c:axId val="959553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557183"/>
        <c:crosses val="autoZero"/>
        <c:auto val="1"/>
        <c:lblAlgn val="ctr"/>
        <c:lblOffset val="100"/>
        <c:noMultiLvlLbl val="0"/>
      </c:catAx>
      <c:valAx>
        <c:axId val="959557183"/>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95955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8100000" algn="tr" rotWithShape="0">
        <a:srgbClr val="00206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Transactions</a:t>
            </a:r>
            <a:r>
              <a:rPr lang="en-US" baseline="0"/>
              <a:t> By Amount</a:t>
            </a:r>
            <a:endParaRPr lang="en-US"/>
          </a:p>
        </c:rich>
      </c:tx>
      <c:layout>
        <c:manualLayout>
          <c:xMode val="edge"/>
          <c:yMode val="edge"/>
          <c:x val="0.36768253734936079"/>
          <c:y val="4.005945201193077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s>
    <c:plotArea>
      <c:layout/>
      <c:barChart>
        <c:barDir val="col"/>
        <c:grouping val="clustered"/>
        <c:varyColors val="0"/>
        <c:ser>
          <c:idx val="0"/>
          <c:order val="0"/>
          <c:tx>
            <c:strRef>
              <c:f>'PIVOT ANALYSIS'!$B$170</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2-4F4A-47B8-B122-7E80A7BF1BC8}"/>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4F4A-47B8-B122-7E80A7BF1BC8}"/>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4F4A-47B8-B122-7E80A7BF1BC8}"/>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4F4A-47B8-B122-7E80A7BF1B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ANALYSIS'!$A$171:$A$178</c:f>
              <c:strCache>
                <c:ptCount val="7"/>
                <c:pt idx="0">
                  <c:v>0-1000</c:v>
                </c:pt>
                <c:pt idx="1">
                  <c:v>1000-2000</c:v>
                </c:pt>
                <c:pt idx="2">
                  <c:v>2000-3000</c:v>
                </c:pt>
                <c:pt idx="3">
                  <c:v>3000-4000</c:v>
                </c:pt>
                <c:pt idx="4">
                  <c:v>4000-5000</c:v>
                </c:pt>
                <c:pt idx="5">
                  <c:v>6000-7000</c:v>
                </c:pt>
                <c:pt idx="6">
                  <c:v>7000-8000</c:v>
                </c:pt>
              </c:strCache>
            </c:strRef>
          </c:cat>
          <c:val>
            <c:numRef>
              <c:f>'PIVOT ANALYSIS'!$B$171:$B$178</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0-4F4A-47B8-B122-7E80A7BF1BC8}"/>
            </c:ext>
          </c:extLst>
        </c:ser>
        <c:dLbls>
          <c:dLblPos val="outEnd"/>
          <c:showLegendKey val="0"/>
          <c:showVal val="1"/>
          <c:showCatName val="0"/>
          <c:showSerName val="0"/>
          <c:showPercent val="0"/>
          <c:showBubbleSize val="0"/>
        </c:dLbls>
        <c:gapWidth val="219"/>
        <c:overlap val="-27"/>
        <c:axId val="1226375151"/>
        <c:axId val="1226375631"/>
      </c:barChart>
      <c:catAx>
        <c:axId val="122637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375631"/>
        <c:crosses val="autoZero"/>
        <c:auto val="1"/>
        <c:lblAlgn val="ctr"/>
        <c:lblOffset val="100"/>
        <c:noMultiLvlLbl val="0"/>
      </c:catAx>
      <c:valAx>
        <c:axId val="1226375631"/>
        <c:scaling>
          <c:orientation val="minMax"/>
        </c:scaling>
        <c:delete val="1"/>
        <c:axPos val="l"/>
        <c:numFmt formatCode="General" sourceLinked="1"/>
        <c:majorTickMark val="none"/>
        <c:minorTickMark val="none"/>
        <c:tickLblPos val="nextTo"/>
        <c:crossAx val="122637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6">
          <a:alpha val="42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pivotFmt>
      <c:pivotFmt>
        <c:idx val="2"/>
        <c:spPr>
          <a:solidFill>
            <a:schemeClr val="accent6">
              <a:lumMod val="20000"/>
              <a:lumOff val="80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20000"/>
              <a:lumOff val="80000"/>
            </a:schemeClr>
          </a:solidFill>
          <a:ln>
            <a:noFill/>
          </a:ln>
          <a:effectLst/>
        </c:spPr>
      </c:pivotFmt>
    </c:pivotFmts>
    <c:plotArea>
      <c:layout/>
      <c:pieChart>
        <c:varyColors val="1"/>
        <c:ser>
          <c:idx val="0"/>
          <c:order val="0"/>
          <c:tx>
            <c:strRef>
              <c:f>'PIVOT ANALYSIS'!$B$28</c:f>
              <c:strCache>
                <c:ptCount val="1"/>
                <c:pt idx="0">
                  <c:v>Total</c:v>
                </c:pt>
              </c:strCache>
            </c:strRef>
          </c:tx>
          <c:dPt>
            <c:idx val="0"/>
            <c:bubble3D val="0"/>
            <c:spPr>
              <a:solidFill>
                <a:schemeClr val="accent6">
                  <a:lumMod val="20000"/>
                  <a:lumOff val="80000"/>
                </a:schemeClr>
              </a:solidFill>
              <a:ln>
                <a:noFill/>
              </a:ln>
              <a:effectLst/>
            </c:spPr>
            <c:extLst>
              <c:ext xmlns:c16="http://schemas.microsoft.com/office/drawing/2014/chart" uri="{C3380CC4-5D6E-409C-BE32-E72D297353CC}">
                <c16:uniqueId val="{00000005-F048-437D-8C16-30F223893DC6}"/>
              </c:ext>
            </c:extLst>
          </c:dPt>
          <c:dPt>
            <c:idx val="1"/>
            <c:bubble3D val="0"/>
            <c:spPr>
              <a:solidFill>
                <a:schemeClr val="accent6">
                  <a:lumMod val="20000"/>
                  <a:lumOff val="80000"/>
                </a:schemeClr>
              </a:solidFill>
              <a:ln>
                <a:noFill/>
              </a:ln>
              <a:effectLst/>
            </c:spPr>
            <c:extLst>
              <c:ext xmlns:c16="http://schemas.microsoft.com/office/drawing/2014/chart" uri="{C3380CC4-5D6E-409C-BE32-E72D297353CC}">
                <c16:uniqueId val="{00000003-F048-437D-8C16-30F223893DC6}"/>
              </c:ext>
            </c:extLst>
          </c:dPt>
          <c:dPt>
            <c:idx val="2"/>
            <c:bubble3D val="0"/>
            <c:spPr>
              <a:solidFill>
                <a:schemeClr val="accent6"/>
              </a:solidFill>
              <a:ln>
                <a:noFill/>
              </a:ln>
              <a:effectLst/>
            </c:spPr>
            <c:extLst>
              <c:ext xmlns:c16="http://schemas.microsoft.com/office/drawing/2014/chart" uri="{C3380CC4-5D6E-409C-BE32-E72D297353CC}">
                <c16:uniqueId val="{00000002-F048-437D-8C16-30F223893DC6}"/>
              </c:ext>
            </c:extLst>
          </c:dPt>
          <c:dPt>
            <c:idx val="3"/>
            <c:bubble3D val="0"/>
            <c:spPr>
              <a:solidFill>
                <a:schemeClr val="accent6">
                  <a:lumMod val="60000"/>
                  <a:lumOff val="40000"/>
                </a:schemeClr>
              </a:solidFill>
              <a:ln>
                <a:noFill/>
              </a:ln>
              <a:effectLst/>
            </c:spPr>
            <c:extLst>
              <c:ext xmlns:c16="http://schemas.microsoft.com/office/drawing/2014/chart" uri="{C3380CC4-5D6E-409C-BE32-E72D297353CC}">
                <c16:uniqueId val="{00000004-F048-437D-8C16-30F223893DC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ANALYSIS'!$A$29:$A$33</c:f>
              <c:strCache>
                <c:ptCount val="4"/>
                <c:pt idx="0">
                  <c:v>East</c:v>
                </c:pt>
                <c:pt idx="1">
                  <c:v>North</c:v>
                </c:pt>
                <c:pt idx="2">
                  <c:v>South</c:v>
                </c:pt>
                <c:pt idx="3">
                  <c:v>West</c:v>
                </c:pt>
              </c:strCache>
            </c:strRef>
          </c:cat>
          <c:val>
            <c:numRef>
              <c:f>'PIVOT ANALYSIS'!$B$29:$B$33</c:f>
              <c:numCache>
                <c:formatCode>"$"#,##0.00</c:formatCode>
                <c:ptCount val="4"/>
                <c:pt idx="0">
                  <c:v>108275.51</c:v>
                </c:pt>
                <c:pt idx="1">
                  <c:v>141680.33999999997</c:v>
                </c:pt>
                <c:pt idx="2">
                  <c:v>93858.329999999987</c:v>
                </c:pt>
                <c:pt idx="3">
                  <c:v>91251.979999999981</c:v>
                </c:pt>
              </c:numCache>
            </c:numRef>
          </c:val>
          <c:extLst>
            <c:ext xmlns:c16="http://schemas.microsoft.com/office/drawing/2014/chart" uri="{C3380CC4-5D6E-409C-BE32-E72D297353CC}">
              <c16:uniqueId val="{00000000-F048-437D-8C16-30F223893DC6}"/>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0713867461215549"/>
          <c:y val="0.17712009286994615"/>
          <c:w val="0.17934428821082499"/>
          <c:h val="0.8200680403139993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a:outerShdw blurRad="50800" dist="38100" dir="8100000" algn="tr" rotWithShape="0">
        <a:schemeClr val="accent6">
          <a:alpha val="43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Performance by 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6">
              <a:lumMod val="40000"/>
              <a:lumOff val="6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20000"/>
              <a:lumOff val="80000"/>
            </a:schemeClr>
          </a:solidFill>
          <a:ln>
            <a:noFill/>
          </a:ln>
          <a:effectLst/>
        </c:spPr>
      </c:pivotFmt>
    </c:pivotFmts>
    <c:plotArea>
      <c:layout/>
      <c:barChart>
        <c:barDir val="bar"/>
        <c:grouping val="clustered"/>
        <c:varyColors val="0"/>
        <c:ser>
          <c:idx val="0"/>
          <c:order val="0"/>
          <c:tx>
            <c:strRef>
              <c:f>'PIVOT ANALYSIS'!$B$11</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D678-4F92-A5F5-5ECCC2B8CD12}"/>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8-D678-4F92-A5F5-5ECCC2B8CD12}"/>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D678-4F92-A5F5-5ECCC2B8CD12}"/>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6-D678-4F92-A5F5-5ECCC2B8CD12}"/>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D678-4F92-A5F5-5ECCC2B8CD12}"/>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D678-4F92-A5F5-5ECCC2B8CD12}"/>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3-D678-4F92-A5F5-5ECCC2B8CD12}"/>
              </c:ext>
            </c:extLst>
          </c:dPt>
          <c:dPt>
            <c:idx val="7"/>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2-D678-4F92-A5F5-5ECCC2B8CD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ANALYSIS'!$A$12:$A$20</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'PIVOT ANALYSIS'!$B$12:$B$20</c:f>
              <c:numCache>
                <c:formatCode>"$"#,##0.00</c:formatCode>
                <c:ptCount val="8"/>
                <c:pt idx="0">
                  <c:v>16350.5</c:v>
                </c:pt>
                <c:pt idx="1">
                  <c:v>32530.6</c:v>
                </c:pt>
                <c:pt idx="2">
                  <c:v>37428</c:v>
                </c:pt>
                <c:pt idx="3">
                  <c:v>41095.01</c:v>
                </c:pt>
                <c:pt idx="4">
                  <c:v>42370.880000000005</c:v>
                </c:pt>
                <c:pt idx="5">
                  <c:v>67180.5</c:v>
                </c:pt>
                <c:pt idx="6">
                  <c:v>93858.329999999987</c:v>
                </c:pt>
                <c:pt idx="7">
                  <c:v>104252.33999999997</c:v>
                </c:pt>
              </c:numCache>
            </c:numRef>
          </c:val>
          <c:extLst>
            <c:ext xmlns:c16="http://schemas.microsoft.com/office/drawing/2014/chart" uri="{C3380CC4-5D6E-409C-BE32-E72D297353CC}">
              <c16:uniqueId val="{00000000-D678-4F92-A5F5-5ECCC2B8CD12}"/>
            </c:ext>
          </c:extLst>
        </c:ser>
        <c:dLbls>
          <c:dLblPos val="outEnd"/>
          <c:showLegendKey val="0"/>
          <c:showVal val="1"/>
          <c:showCatName val="0"/>
          <c:showSerName val="0"/>
          <c:showPercent val="0"/>
          <c:showBubbleSize val="0"/>
        </c:dLbls>
        <c:gapWidth val="182"/>
        <c:axId val="1233710239"/>
        <c:axId val="1233708319"/>
      </c:barChart>
      <c:catAx>
        <c:axId val="123371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708319"/>
        <c:crosses val="autoZero"/>
        <c:auto val="1"/>
        <c:lblAlgn val="ctr"/>
        <c:lblOffset val="100"/>
        <c:noMultiLvlLbl val="0"/>
      </c:catAx>
      <c:valAx>
        <c:axId val="1233708319"/>
        <c:scaling>
          <c:orientation val="minMax"/>
        </c:scaling>
        <c:delete val="1"/>
        <c:axPos val="b"/>
        <c:numFmt formatCode="&quot;$&quot;#,##0.00" sourceLinked="1"/>
        <c:majorTickMark val="none"/>
        <c:minorTickMark val="none"/>
        <c:tickLblPos val="nextTo"/>
        <c:crossAx val="123371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8100000" algn="tr" rotWithShape="0">
        <a:schemeClr val="accent6">
          <a:alpha val="42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293E1A"/>
                </a:solidFill>
              </a:rPr>
              <a:t>Sales</a:t>
            </a:r>
            <a:r>
              <a:rPr lang="en-US" sz="1800" b="1" baseline="0">
                <a:solidFill>
                  <a:srgbClr val="293E1A"/>
                </a:solidFill>
              </a:rPr>
              <a:t> Performance by Rep</a:t>
            </a:r>
            <a:endParaRPr lang="en-US" sz="1800" b="1">
              <a:solidFill>
                <a:srgbClr val="293E1A"/>
              </a:solidFill>
            </a:endParaRPr>
          </a:p>
        </c:rich>
      </c:tx>
      <c:layout>
        <c:manualLayout>
          <c:xMode val="edge"/>
          <c:yMode val="edge"/>
          <c:x val="1.9481315347733043E-2"/>
          <c:y val="2.12574222433395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6">
              <a:lumMod val="40000"/>
              <a:lumOff val="60000"/>
            </a:schemeClr>
          </a:solidFill>
          <a:ln>
            <a:noFill/>
          </a:ln>
          <a:effectLst/>
        </c:spPr>
      </c:pivotFmt>
      <c:pivotFmt>
        <c:idx val="6"/>
        <c:spPr>
          <a:solidFill>
            <a:schemeClr val="accent6">
              <a:lumMod val="40000"/>
              <a:lumOff val="6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20000"/>
              <a:lumOff val="80000"/>
            </a:schemeClr>
          </a:solidFill>
          <a:ln>
            <a:noFill/>
          </a:ln>
          <a:effectLst/>
        </c:spPr>
      </c:pivotFmt>
      <c:pivotFmt>
        <c:idx val="11"/>
        <c:spPr>
          <a:solidFill>
            <a:schemeClr val="accent6">
              <a:lumMod val="40000"/>
              <a:lumOff val="6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6">
              <a:lumMod val="60000"/>
              <a:lumOff val="40000"/>
            </a:schemeClr>
          </a:solidFill>
          <a:ln>
            <a:noFill/>
          </a:ln>
          <a:effectLst/>
        </c:spPr>
      </c:pivotFmt>
      <c:pivotFmt>
        <c:idx val="16"/>
        <c:spPr>
          <a:solidFill>
            <a:schemeClr val="accent6">
              <a:lumMod val="75000"/>
            </a:schemeClr>
          </a:solidFill>
          <a:ln>
            <a:noFill/>
          </a:ln>
          <a:effectLst/>
        </c:spPr>
      </c:pivotFmt>
      <c:pivotFmt>
        <c:idx val="17"/>
        <c:spPr>
          <a:solidFill>
            <a:schemeClr val="accent6">
              <a:lumMod val="5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20000"/>
              <a:lumOff val="80000"/>
            </a:schemeClr>
          </a:solidFill>
          <a:ln>
            <a:noFill/>
          </a:ln>
          <a:effectLst/>
        </c:spPr>
      </c:pivotFmt>
      <c:pivotFmt>
        <c:idx val="20"/>
        <c:spPr>
          <a:solidFill>
            <a:schemeClr val="accent6">
              <a:lumMod val="40000"/>
              <a:lumOff val="60000"/>
            </a:schemeClr>
          </a:solidFill>
          <a:ln>
            <a:noFill/>
          </a:ln>
          <a:effectLst/>
        </c:spPr>
      </c:pivotFmt>
      <c:pivotFmt>
        <c:idx val="21"/>
        <c:spPr>
          <a:solidFill>
            <a:schemeClr val="accent6">
              <a:lumMod val="40000"/>
              <a:lumOff val="60000"/>
            </a:schemeClr>
          </a:solidFill>
          <a:ln>
            <a:noFill/>
          </a:ln>
          <a:effectLst/>
        </c:spPr>
      </c:pivotFmt>
      <c:pivotFmt>
        <c:idx val="22"/>
        <c:spPr>
          <a:solidFill>
            <a:schemeClr val="accent6">
              <a:lumMod val="60000"/>
              <a:lumOff val="40000"/>
            </a:schemeClr>
          </a:solidFill>
          <a:ln>
            <a:noFill/>
          </a:ln>
          <a:effectLst/>
        </c:spPr>
      </c:pivotFmt>
      <c:pivotFmt>
        <c:idx val="23"/>
        <c:spPr>
          <a:solidFill>
            <a:schemeClr val="accent6">
              <a:lumMod val="75000"/>
            </a:schemeClr>
          </a:solidFill>
          <a:ln>
            <a:noFill/>
          </a:ln>
          <a:effectLst/>
        </c:spPr>
      </c:pivotFmt>
      <c:pivotFmt>
        <c:idx val="24"/>
        <c:spPr>
          <a:solidFill>
            <a:schemeClr val="accent6">
              <a:lumMod val="75000"/>
            </a:schemeClr>
          </a:solidFill>
          <a:ln>
            <a:noFill/>
          </a:ln>
          <a:effectLst/>
        </c:spPr>
      </c:pivotFmt>
      <c:pivotFmt>
        <c:idx val="25"/>
        <c:spPr>
          <a:solidFill>
            <a:srgbClr val="4F7B31"/>
          </a:solidFill>
          <a:ln>
            <a:noFill/>
          </a:ln>
          <a:effectLst/>
        </c:spPr>
      </c:pivotFmt>
      <c:pivotFmt>
        <c:idx val="26"/>
        <c:spPr>
          <a:solidFill>
            <a:srgbClr val="4F7B31"/>
          </a:solidFill>
          <a:ln>
            <a:noFill/>
          </a:ln>
          <a:effectLst/>
        </c:spPr>
        <c:dLbl>
          <c:idx val="0"/>
          <c:layout>
            <c:manualLayout>
              <c:x val="-1.1332797687609558E-2"/>
              <c:y val="-2.459996722328937E-3"/>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86158317220534"/>
                  <c:h val="8.1924341589112548E-2"/>
                </c:manualLayout>
              </c15:layout>
            </c:ext>
          </c:extLst>
        </c:dLbl>
      </c:pivotFmt>
    </c:pivotFmts>
    <c:plotArea>
      <c:layout>
        <c:manualLayout>
          <c:layoutTarget val="inner"/>
          <c:xMode val="edge"/>
          <c:yMode val="edge"/>
          <c:x val="0.1806944134786265"/>
          <c:y val="0.17983041254449039"/>
          <c:w val="0.75623896298145932"/>
          <c:h val="0.76683627462134085"/>
        </c:manualLayout>
      </c:layout>
      <c:barChart>
        <c:barDir val="bar"/>
        <c:grouping val="clustered"/>
        <c:varyColors val="0"/>
        <c:ser>
          <c:idx val="0"/>
          <c:order val="0"/>
          <c:tx>
            <c:strRef>
              <c:f>'PIVOT ANALYSIS'!$B$11</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1C5C-41CE-8A2A-B390AD3E6E13}"/>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1C5C-41CE-8A2A-B390AD3E6E13}"/>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1C5C-41CE-8A2A-B390AD3E6E13}"/>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1C5C-41CE-8A2A-B390AD3E6E13}"/>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9-1C5C-41CE-8A2A-B390AD3E6E13}"/>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B-1C5C-41CE-8A2A-B390AD3E6E13}"/>
              </c:ext>
            </c:extLst>
          </c:dPt>
          <c:dPt>
            <c:idx val="6"/>
            <c:invertIfNegative val="0"/>
            <c:bubble3D val="0"/>
            <c:spPr>
              <a:solidFill>
                <a:srgbClr val="4F7B31"/>
              </a:solidFill>
              <a:ln>
                <a:noFill/>
              </a:ln>
              <a:effectLst/>
            </c:spPr>
            <c:extLst>
              <c:ext xmlns:c16="http://schemas.microsoft.com/office/drawing/2014/chart" uri="{C3380CC4-5D6E-409C-BE32-E72D297353CC}">
                <c16:uniqueId val="{0000000D-1C5C-41CE-8A2A-B390AD3E6E13}"/>
              </c:ext>
            </c:extLst>
          </c:dPt>
          <c:dPt>
            <c:idx val="7"/>
            <c:invertIfNegative val="0"/>
            <c:bubble3D val="0"/>
            <c:spPr>
              <a:solidFill>
                <a:srgbClr val="4F7B31"/>
              </a:solidFill>
              <a:ln>
                <a:noFill/>
              </a:ln>
              <a:effectLst/>
            </c:spPr>
            <c:extLst>
              <c:ext xmlns:c16="http://schemas.microsoft.com/office/drawing/2014/chart" uri="{C3380CC4-5D6E-409C-BE32-E72D297353CC}">
                <c16:uniqueId val="{0000000F-1C5C-41CE-8A2A-B390AD3E6E13}"/>
              </c:ext>
            </c:extLst>
          </c:dPt>
          <c:dLbls>
            <c:dLbl>
              <c:idx val="7"/>
              <c:layout>
                <c:manualLayout>
                  <c:x val="-1.1332797687609558E-2"/>
                  <c:y val="-2.459996722328937E-3"/>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86158317220534"/>
                      <c:h val="8.1924341589112548E-2"/>
                    </c:manualLayout>
                  </c15:layout>
                </c:ext>
                <c:ext xmlns:c16="http://schemas.microsoft.com/office/drawing/2014/chart" uri="{C3380CC4-5D6E-409C-BE32-E72D297353CC}">
                  <c16:uniqueId val="{0000000F-1C5C-41CE-8A2A-B390AD3E6E13}"/>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ANALYSIS'!$A$12:$A$20</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'PIVOT ANALYSIS'!$B$12:$B$20</c:f>
              <c:numCache>
                <c:formatCode>"$"#,##0.00</c:formatCode>
                <c:ptCount val="8"/>
                <c:pt idx="0">
                  <c:v>16350.5</c:v>
                </c:pt>
                <c:pt idx="1">
                  <c:v>32530.6</c:v>
                </c:pt>
                <c:pt idx="2">
                  <c:v>37428</c:v>
                </c:pt>
                <c:pt idx="3">
                  <c:v>41095.01</c:v>
                </c:pt>
                <c:pt idx="4">
                  <c:v>42370.880000000005</c:v>
                </c:pt>
                <c:pt idx="5">
                  <c:v>67180.5</c:v>
                </c:pt>
                <c:pt idx="6">
                  <c:v>93858.329999999987</c:v>
                </c:pt>
                <c:pt idx="7">
                  <c:v>104252.33999999997</c:v>
                </c:pt>
              </c:numCache>
            </c:numRef>
          </c:val>
          <c:extLst>
            <c:ext xmlns:c16="http://schemas.microsoft.com/office/drawing/2014/chart" uri="{C3380CC4-5D6E-409C-BE32-E72D297353CC}">
              <c16:uniqueId val="{00000010-1C5C-41CE-8A2A-B390AD3E6E13}"/>
            </c:ext>
          </c:extLst>
        </c:ser>
        <c:dLbls>
          <c:dLblPos val="outEnd"/>
          <c:showLegendKey val="0"/>
          <c:showVal val="1"/>
          <c:showCatName val="0"/>
          <c:showSerName val="0"/>
          <c:showPercent val="0"/>
          <c:showBubbleSize val="0"/>
        </c:dLbls>
        <c:gapWidth val="30"/>
        <c:axId val="1233710239"/>
        <c:axId val="1233708319"/>
      </c:barChart>
      <c:catAx>
        <c:axId val="123371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crossAx val="1233708319"/>
        <c:crosses val="autoZero"/>
        <c:auto val="1"/>
        <c:lblAlgn val="ctr"/>
        <c:lblOffset val="100"/>
        <c:noMultiLvlLbl val="0"/>
      </c:catAx>
      <c:valAx>
        <c:axId val="1233708319"/>
        <c:scaling>
          <c:orientation val="minMax"/>
        </c:scaling>
        <c:delete val="1"/>
        <c:axPos val="b"/>
        <c:numFmt formatCode="&quot;$&quot;#,##0.00" sourceLinked="1"/>
        <c:majorTickMark val="none"/>
        <c:minorTickMark val="none"/>
        <c:tickLblPos val="nextTo"/>
        <c:crossAx val="123371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8100000" sx="99000" sy="99000" algn="tr" rotWithShape="0">
        <a:schemeClr val="accent6">
          <a:alpha val="42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293E1A"/>
                </a:solidFill>
              </a:rPr>
              <a:t>Sales Perfornance</a:t>
            </a:r>
            <a:r>
              <a:rPr lang="en-US" sz="1800" b="1" baseline="0">
                <a:solidFill>
                  <a:srgbClr val="293E1A"/>
                </a:solidFill>
              </a:rPr>
              <a:t> by Region</a:t>
            </a:r>
            <a:endParaRPr lang="en-US" sz="1800" b="1">
              <a:solidFill>
                <a:srgbClr val="293E1A"/>
              </a:solidFill>
            </a:endParaRPr>
          </a:p>
        </c:rich>
      </c:tx>
      <c:layout>
        <c:manualLayout>
          <c:xMode val="edge"/>
          <c:yMode val="edge"/>
          <c:x val="1.6493098790307366E-2"/>
          <c:y val="2.62746419994324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pivotFmt>
      <c:pivotFmt>
        <c:idx val="2"/>
        <c:spPr>
          <a:solidFill>
            <a:schemeClr val="accent6">
              <a:lumMod val="50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20000"/>
              <a:lumOff val="80000"/>
            </a:schemeClr>
          </a:solidFill>
          <a:ln>
            <a:noFill/>
          </a:ln>
          <a:effectLst/>
        </c:spPr>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20000"/>
              <a:lumOff val="80000"/>
            </a:schemeClr>
          </a:solidFill>
          <a:ln>
            <a:noFill/>
          </a:ln>
          <a:effectLst/>
        </c:spPr>
      </c:pivotFmt>
      <c:pivotFmt>
        <c:idx val="7"/>
        <c:spPr>
          <a:solidFill>
            <a:schemeClr val="accent6">
              <a:lumMod val="50000"/>
            </a:schemeClr>
          </a:solidFill>
          <a:ln>
            <a:noFill/>
          </a:ln>
          <a:effectLst/>
        </c:spPr>
      </c:pivotFmt>
      <c:pivotFmt>
        <c:idx val="8"/>
        <c:spPr>
          <a:solidFill>
            <a:schemeClr val="accent6"/>
          </a:solidFill>
          <a:ln>
            <a:noFill/>
          </a:ln>
          <a:effectLst/>
        </c:spPr>
      </c:pivotFmt>
      <c:pivotFmt>
        <c:idx val="9"/>
        <c:spPr>
          <a:solidFill>
            <a:schemeClr val="accent6">
              <a:lumMod val="60000"/>
              <a:lumOff val="40000"/>
            </a:schemeClr>
          </a:solidFill>
          <a:ln>
            <a:noFill/>
          </a:ln>
          <a:effectLst/>
        </c:spPr>
      </c:pivotFmt>
      <c:pivotFmt>
        <c:idx val="10"/>
        <c:spPr>
          <a:solidFill>
            <a:schemeClr val="accent1"/>
          </a:solidFill>
          <a:ln>
            <a:no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20000"/>
              <a:lumOff val="80000"/>
            </a:schemeClr>
          </a:solidFill>
          <a:ln>
            <a:noFill/>
          </a:ln>
          <a:effectLst/>
        </c:spPr>
      </c:pivotFmt>
      <c:pivotFmt>
        <c:idx val="12"/>
        <c:spPr>
          <a:solidFill>
            <a:schemeClr val="accent6">
              <a:lumMod val="50000"/>
            </a:schemeClr>
          </a:solidFill>
          <a:ln>
            <a:noFill/>
          </a:ln>
          <a:effectLst/>
        </c:spPr>
        <c:dLbl>
          <c:idx val="0"/>
          <c:layout>
            <c:manualLayout>
              <c:x val="5.8336558303830027E-2"/>
              <c:y val="-4.65759980416396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olidFill>
          <a:ln>
            <a:noFill/>
          </a:ln>
          <a:effectLst/>
        </c:spPr>
      </c:pivotFmt>
      <c:pivotFmt>
        <c:idx val="14"/>
        <c:spPr>
          <a:solidFill>
            <a:schemeClr val="accent6">
              <a:lumMod val="60000"/>
              <a:lumOff val="40000"/>
            </a:schemeClr>
          </a:solidFill>
          <a:ln>
            <a:noFill/>
          </a:ln>
          <a:effectLst/>
        </c:spPr>
        <c:dLbl>
          <c:idx val="0"/>
          <c:layout>
            <c:manualLayout>
              <c:x val="-1.9442265755177081E-2"/>
              <c:y val="5.643942837599730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ANALYSIS'!$B$28</c:f>
              <c:strCache>
                <c:ptCount val="1"/>
                <c:pt idx="0">
                  <c:v>Total</c:v>
                </c:pt>
              </c:strCache>
            </c:strRef>
          </c:tx>
          <c:dPt>
            <c:idx val="0"/>
            <c:bubble3D val="0"/>
            <c:spPr>
              <a:solidFill>
                <a:schemeClr val="accent6">
                  <a:lumMod val="20000"/>
                  <a:lumOff val="80000"/>
                </a:schemeClr>
              </a:solidFill>
              <a:ln>
                <a:noFill/>
              </a:ln>
              <a:effectLst/>
            </c:spPr>
            <c:extLst>
              <c:ext xmlns:c16="http://schemas.microsoft.com/office/drawing/2014/chart" uri="{C3380CC4-5D6E-409C-BE32-E72D297353CC}">
                <c16:uniqueId val="{00000001-C73F-4B9C-B1A5-E177B54CBDE8}"/>
              </c:ext>
            </c:extLst>
          </c:dPt>
          <c:dPt>
            <c:idx val="1"/>
            <c:bubble3D val="0"/>
            <c:spPr>
              <a:solidFill>
                <a:schemeClr val="accent6">
                  <a:lumMod val="50000"/>
                </a:schemeClr>
              </a:solidFill>
              <a:ln>
                <a:noFill/>
              </a:ln>
              <a:effectLst/>
            </c:spPr>
            <c:extLst>
              <c:ext xmlns:c16="http://schemas.microsoft.com/office/drawing/2014/chart" uri="{C3380CC4-5D6E-409C-BE32-E72D297353CC}">
                <c16:uniqueId val="{00000003-C73F-4B9C-B1A5-E177B54CBDE8}"/>
              </c:ext>
            </c:extLst>
          </c:dPt>
          <c:dPt>
            <c:idx val="2"/>
            <c:bubble3D val="0"/>
            <c:spPr>
              <a:solidFill>
                <a:schemeClr val="accent6"/>
              </a:solidFill>
              <a:ln>
                <a:noFill/>
              </a:ln>
              <a:effectLst/>
            </c:spPr>
            <c:extLst>
              <c:ext xmlns:c16="http://schemas.microsoft.com/office/drawing/2014/chart" uri="{C3380CC4-5D6E-409C-BE32-E72D297353CC}">
                <c16:uniqueId val="{00000005-C73F-4B9C-B1A5-E177B54CBDE8}"/>
              </c:ext>
            </c:extLst>
          </c:dPt>
          <c:dPt>
            <c:idx val="3"/>
            <c:bubble3D val="0"/>
            <c:spPr>
              <a:solidFill>
                <a:schemeClr val="accent6">
                  <a:lumMod val="60000"/>
                  <a:lumOff val="40000"/>
                </a:schemeClr>
              </a:solidFill>
              <a:ln>
                <a:noFill/>
              </a:ln>
              <a:effectLst/>
            </c:spPr>
            <c:extLst>
              <c:ext xmlns:c16="http://schemas.microsoft.com/office/drawing/2014/chart" uri="{C3380CC4-5D6E-409C-BE32-E72D297353CC}">
                <c16:uniqueId val="{00000007-C73F-4B9C-B1A5-E177B54CBDE8}"/>
              </c:ext>
            </c:extLst>
          </c:dPt>
          <c:dLbls>
            <c:dLbl>
              <c:idx val="1"/>
              <c:layout>
                <c:manualLayout>
                  <c:x val="5.8336558303830027E-2"/>
                  <c:y val="-4.6575998041639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73F-4B9C-B1A5-E177B54CBDE8}"/>
                </c:ext>
              </c:extLst>
            </c:dLbl>
            <c:dLbl>
              <c:idx val="3"/>
              <c:layout>
                <c:manualLayout>
                  <c:x val="-1.9442265755177081E-2"/>
                  <c:y val="5.643942837599730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73F-4B9C-B1A5-E177B54CBDE8}"/>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ANALYSIS'!$A$29:$A$33</c:f>
              <c:strCache>
                <c:ptCount val="4"/>
                <c:pt idx="0">
                  <c:v>East</c:v>
                </c:pt>
                <c:pt idx="1">
                  <c:v>North</c:v>
                </c:pt>
                <c:pt idx="2">
                  <c:v>South</c:v>
                </c:pt>
                <c:pt idx="3">
                  <c:v>West</c:v>
                </c:pt>
              </c:strCache>
            </c:strRef>
          </c:cat>
          <c:val>
            <c:numRef>
              <c:f>'PIVOT ANALYSIS'!$B$29:$B$33</c:f>
              <c:numCache>
                <c:formatCode>"$"#,##0.00</c:formatCode>
                <c:ptCount val="4"/>
                <c:pt idx="0">
                  <c:v>108275.51</c:v>
                </c:pt>
                <c:pt idx="1">
                  <c:v>141680.33999999997</c:v>
                </c:pt>
                <c:pt idx="2">
                  <c:v>93858.329999999987</c:v>
                </c:pt>
                <c:pt idx="3">
                  <c:v>91251.979999999981</c:v>
                </c:pt>
              </c:numCache>
            </c:numRef>
          </c:val>
          <c:extLst>
            <c:ext xmlns:c16="http://schemas.microsoft.com/office/drawing/2014/chart" uri="{C3380CC4-5D6E-409C-BE32-E72D297353CC}">
              <c16:uniqueId val="{00000008-C73F-4B9C-B1A5-E177B54CBDE8}"/>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1684352377455471"/>
          <c:y val="7.7842759657939006E-2"/>
          <c:w val="0.17934428821082499"/>
          <c:h val="0.8200680403139993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8100000" sx="96000" sy="96000" algn="tr" rotWithShape="0">
        <a:schemeClr val="accent6">
          <a:alpha val="43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solidFill>
                  <a:srgbClr val="293E1A"/>
                </a:solidFill>
              </a:rPr>
              <a:t>Sales Performance by Product Category</a:t>
            </a:r>
            <a:endParaRPr lang="en-US" sz="1800" b="1">
              <a:solidFill>
                <a:srgbClr val="293E1A"/>
              </a:solidFill>
            </a:endParaRPr>
          </a:p>
        </c:rich>
      </c:tx>
      <c:layout>
        <c:manualLayout>
          <c:xMode val="edge"/>
          <c:yMode val="edge"/>
          <c:x val="2.3725836590291562E-2"/>
          <c:y val="2.6956175341046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6">
              <a:lumMod val="20000"/>
              <a:lumOff val="80000"/>
            </a:schemeClr>
          </a:solidFill>
          <a:ln>
            <a:noFill/>
          </a:ln>
          <a:effectLst/>
        </c:spPr>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c:spPr>
      </c:pivotFmt>
      <c:pivotFmt>
        <c:idx val="8"/>
        <c:spPr>
          <a:solidFill>
            <a:schemeClr val="accent6">
              <a:lumMod val="75000"/>
            </a:schemeClr>
          </a:solidFill>
          <a:ln>
            <a:noFill/>
          </a:ln>
          <a:effectLst/>
        </c:spPr>
      </c:pivotFmt>
      <c:pivotFmt>
        <c:idx val="9"/>
        <c:spPr>
          <a:solidFill>
            <a:schemeClr val="accent6">
              <a:lumMod val="60000"/>
              <a:lumOff val="40000"/>
            </a:schemeClr>
          </a:solidFill>
          <a:ln>
            <a:noFill/>
          </a:ln>
          <a:effectLst/>
        </c:spPr>
      </c:pivotFmt>
      <c:pivotFmt>
        <c:idx val="10"/>
        <c:spPr>
          <a:solidFill>
            <a:schemeClr val="accent6">
              <a:lumMod val="40000"/>
              <a:lumOff val="60000"/>
            </a:schemeClr>
          </a:solidFill>
          <a:ln>
            <a:noFill/>
          </a:ln>
          <a:effectLst/>
        </c:spPr>
      </c:pivotFmt>
      <c:pivotFmt>
        <c:idx val="11"/>
        <c:spPr>
          <a:solidFill>
            <a:schemeClr val="accent6">
              <a:lumMod val="20000"/>
              <a:lumOff val="80000"/>
            </a:schemeClr>
          </a:solidFill>
          <a:ln>
            <a:noFill/>
          </a:ln>
          <a:effectLst/>
        </c:spPr>
      </c:pivotFmt>
      <c:pivotFmt>
        <c:idx val="1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93E1A"/>
          </a:solidFill>
          <a:ln>
            <a:noFill/>
          </a:ln>
          <a:effectLst/>
        </c:spPr>
      </c:pivotFmt>
      <c:pivotFmt>
        <c:idx val="14"/>
        <c:spPr>
          <a:solidFill>
            <a:srgbClr val="293E1A"/>
          </a:solidFill>
          <a:ln>
            <a:noFill/>
          </a:ln>
          <a:effectLst/>
        </c:spPr>
      </c:pivotFmt>
      <c:pivotFmt>
        <c:idx val="15"/>
        <c:spPr>
          <a:solidFill>
            <a:srgbClr val="3F6228"/>
          </a:solidFill>
          <a:ln>
            <a:noFill/>
          </a:ln>
          <a:effectLst/>
        </c:spPr>
      </c:pivotFmt>
      <c:pivotFmt>
        <c:idx val="16"/>
        <c:spPr>
          <a:solidFill>
            <a:schemeClr val="accent6">
              <a:lumMod val="75000"/>
            </a:schemeClr>
          </a:solidFill>
          <a:ln>
            <a:noFill/>
          </a:ln>
          <a:effectLst/>
        </c:spPr>
      </c:pivotFmt>
      <c:pivotFmt>
        <c:idx val="17"/>
        <c:spPr>
          <a:solidFill>
            <a:schemeClr val="accent6">
              <a:lumMod val="60000"/>
              <a:lumOff val="40000"/>
            </a:schemeClr>
          </a:solidFill>
          <a:ln>
            <a:noFill/>
          </a:ln>
          <a:effectLst/>
        </c:spPr>
      </c:pivotFmt>
    </c:pivotFmts>
    <c:plotArea>
      <c:layout/>
      <c:barChart>
        <c:barDir val="col"/>
        <c:grouping val="clustered"/>
        <c:varyColors val="0"/>
        <c:ser>
          <c:idx val="0"/>
          <c:order val="0"/>
          <c:tx>
            <c:strRef>
              <c:f>'PIVOT ANALYSIS'!$B$69</c:f>
              <c:strCache>
                <c:ptCount val="1"/>
                <c:pt idx="0">
                  <c:v>Total</c:v>
                </c:pt>
              </c:strCache>
            </c:strRef>
          </c:tx>
          <c:spPr>
            <a:solidFill>
              <a:schemeClr val="accent6">
                <a:lumMod val="50000"/>
              </a:schemeClr>
            </a:solidFill>
            <a:ln>
              <a:noFill/>
            </a:ln>
            <a:effectLst/>
          </c:spPr>
          <c:invertIfNegative val="0"/>
          <c:dPt>
            <c:idx val="0"/>
            <c:invertIfNegative val="0"/>
            <c:bubble3D val="0"/>
            <c:spPr>
              <a:solidFill>
                <a:srgbClr val="293E1A"/>
              </a:solidFill>
              <a:ln>
                <a:noFill/>
              </a:ln>
              <a:effectLst/>
            </c:spPr>
            <c:extLst>
              <c:ext xmlns:c16="http://schemas.microsoft.com/office/drawing/2014/chart" uri="{C3380CC4-5D6E-409C-BE32-E72D297353CC}">
                <c16:uniqueId val="{00000001-64E7-48A0-9FB1-9CB1984D44CE}"/>
              </c:ext>
            </c:extLst>
          </c:dPt>
          <c:dPt>
            <c:idx val="1"/>
            <c:invertIfNegative val="0"/>
            <c:bubble3D val="0"/>
            <c:spPr>
              <a:solidFill>
                <a:srgbClr val="293E1A"/>
              </a:solidFill>
              <a:ln>
                <a:noFill/>
              </a:ln>
              <a:effectLst/>
            </c:spPr>
            <c:extLst>
              <c:ext xmlns:c16="http://schemas.microsoft.com/office/drawing/2014/chart" uri="{C3380CC4-5D6E-409C-BE32-E72D297353CC}">
                <c16:uniqueId val="{00000003-64E7-48A0-9FB1-9CB1984D44CE}"/>
              </c:ext>
            </c:extLst>
          </c:dPt>
          <c:dPt>
            <c:idx val="2"/>
            <c:invertIfNegative val="0"/>
            <c:bubble3D val="0"/>
            <c:spPr>
              <a:solidFill>
                <a:srgbClr val="3F6228"/>
              </a:solidFill>
              <a:ln>
                <a:noFill/>
              </a:ln>
              <a:effectLst/>
            </c:spPr>
            <c:extLst>
              <c:ext xmlns:c16="http://schemas.microsoft.com/office/drawing/2014/chart" uri="{C3380CC4-5D6E-409C-BE32-E72D297353CC}">
                <c16:uniqueId val="{00000005-64E7-48A0-9FB1-9CB1984D44CE}"/>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64E7-48A0-9FB1-9CB1984D44CE}"/>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64E7-48A0-9FB1-9CB1984D44CE}"/>
              </c:ext>
            </c:extLst>
          </c:dPt>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ANALYSIS'!$A$70:$A$75</c:f>
              <c:strCache>
                <c:ptCount val="5"/>
                <c:pt idx="0">
                  <c:v>Beverages</c:v>
                </c:pt>
                <c:pt idx="1">
                  <c:v>Sauces</c:v>
                </c:pt>
                <c:pt idx="2">
                  <c:v>Jams, Preserves</c:v>
                </c:pt>
                <c:pt idx="3">
                  <c:v>Dairy Products</c:v>
                </c:pt>
                <c:pt idx="4">
                  <c:v>Dried Fruit &amp; Nuts</c:v>
                </c:pt>
              </c:strCache>
            </c:strRef>
          </c:cat>
          <c:val>
            <c:numRef>
              <c:f>'PIVOT ANALYSIS'!$B$70:$B$75</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0A-64E7-48A0-9FB1-9CB1984D44CE}"/>
            </c:ext>
          </c:extLst>
        </c:ser>
        <c:dLbls>
          <c:dLblPos val="outEnd"/>
          <c:showLegendKey val="0"/>
          <c:showVal val="1"/>
          <c:showCatName val="0"/>
          <c:showSerName val="0"/>
          <c:showPercent val="0"/>
          <c:showBubbleSize val="0"/>
        </c:dLbls>
        <c:gapWidth val="219"/>
        <c:overlap val="-27"/>
        <c:axId val="114457072"/>
        <c:axId val="114436912"/>
      </c:barChart>
      <c:catAx>
        <c:axId val="11445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en-US"/>
          </a:p>
        </c:txPr>
        <c:crossAx val="114436912"/>
        <c:crosses val="autoZero"/>
        <c:auto val="1"/>
        <c:lblAlgn val="ctr"/>
        <c:lblOffset val="100"/>
        <c:noMultiLvlLbl val="0"/>
      </c:catAx>
      <c:valAx>
        <c:axId val="114436912"/>
        <c:scaling>
          <c:orientation val="minMax"/>
        </c:scaling>
        <c:delete val="1"/>
        <c:axPos val="l"/>
        <c:numFmt formatCode="&quot;$&quot;#,##0.00" sourceLinked="1"/>
        <c:majorTickMark val="none"/>
        <c:minorTickMark val="none"/>
        <c:tickLblPos val="nextTo"/>
        <c:crossAx val="11445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schemeClr val="accent6">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293E1A"/>
                </a:solidFill>
              </a:rPr>
              <a:t>Sales</a:t>
            </a:r>
            <a:r>
              <a:rPr lang="en-US" sz="1800" b="1" baseline="0">
                <a:solidFill>
                  <a:srgbClr val="293E1A"/>
                </a:solidFill>
              </a:rPr>
              <a:t> Trend Report for the Year</a:t>
            </a:r>
            <a:endParaRPr lang="en-US" sz="1800" b="1">
              <a:solidFill>
                <a:srgbClr val="293E1A"/>
              </a:solidFill>
            </a:endParaRPr>
          </a:p>
        </c:rich>
      </c:tx>
      <c:layout>
        <c:manualLayout>
          <c:xMode val="edge"/>
          <c:yMode val="edge"/>
          <c:x val="2.5440170662453354E-2"/>
          <c:y val="2.10652377092087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3F6228"/>
            </a:solidFill>
            <a:round/>
          </a:ln>
          <a:effectLst/>
        </c:spPr>
        <c:marker>
          <c:symbol val="none"/>
        </c:marker>
        <c:dLbl>
          <c:idx val="0"/>
          <c:layout>
            <c:manualLayout>
              <c:x val="-8.558100494364923E-2"/>
              <c:y val="-0.12054803431412559"/>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3F6228"/>
            </a:solidFill>
            <a:round/>
          </a:ln>
          <a:effectLst/>
        </c:spPr>
        <c:marker>
          <c:symbol val="none"/>
        </c:marker>
        <c:dLbl>
          <c:idx val="0"/>
          <c:layout>
            <c:manualLayout>
              <c:x val="-8.558100494364923E-2"/>
              <c:y val="4.3118488548559548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3F6228"/>
            </a:solidFill>
            <a:round/>
          </a:ln>
          <a:effectLst/>
        </c:spPr>
        <c:marker>
          <c:symbol val="none"/>
        </c:marker>
        <c:dLbl>
          <c:idx val="0"/>
          <c:layout>
            <c:manualLayout>
              <c:x val="-8.3275638668144525E-2"/>
              <c:y val="-5.0405238801546209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368735530196134E-3"/>
          <c:y val="0.16074145169198784"/>
          <c:w val="0.97589729046503315"/>
          <c:h val="0.75340143464415876"/>
        </c:manualLayout>
      </c:layout>
      <c:lineChart>
        <c:grouping val="standard"/>
        <c:varyColors val="0"/>
        <c:ser>
          <c:idx val="0"/>
          <c:order val="0"/>
          <c:tx>
            <c:strRef>
              <c:f>'PIVOT ANALYSIS'!$B$142</c:f>
              <c:strCache>
                <c:ptCount val="1"/>
                <c:pt idx="0">
                  <c:v>Total</c:v>
                </c:pt>
              </c:strCache>
            </c:strRef>
          </c:tx>
          <c:spPr>
            <a:ln w="28575" cap="rnd">
              <a:solidFill>
                <a:srgbClr val="3F6228"/>
              </a:solidFill>
              <a:round/>
            </a:ln>
            <a:effectLst/>
          </c:spPr>
          <c:marker>
            <c:symbol val="none"/>
          </c:marker>
          <c:dPt>
            <c:idx val="6"/>
            <c:marker>
              <c:symbol val="none"/>
            </c:marker>
            <c:bubble3D val="0"/>
            <c:spPr>
              <a:ln w="28575" cap="rnd">
                <a:solidFill>
                  <a:srgbClr val="3F6228"/>
                </a:solidFill>
                <a:round/>
              </a:ln>
              <a:effectLst/>
            </c:spPr>
            <c:extLst>
              <c:ext xmlns:c16="http://schemas.microsoft.com/office/drawing/2014/chart" uri="{C3380CC4-5D6E-409C-BE32-E72D297353CC}">
                <c16:uniqueId val="{00000001-3388-4DBE-B173-1ADD88E14D64}"/>
              </c:ext>
            </c:extLst>
          </c:dPt>
          <c:dPt>
            <c:idx val="7"/>
            <c:marker>
              <c:symbol val="none"/>
            </c:marker>
            <c:bubble3D val="0"/>
            <c:spPr>
              <a:ln w="28575" cap="rnd">
                <a:solidFill>
                  <a:srgbClr val="3F6228"/>
                </a:solidFill>
                <a:round/>
              </a:ln>
              <a:effectLst/>
            </c:spPr>
            <c:extLst>
              <c:ext xmlns:c16="http://schemas.microsoft.com/office/drawing/2014/chart" uri="{C3380CC4-5D6E-409C-BE32-E72D297353CC}">
                <c16:uniqueId val="{00000002-3388-4DBE-B173-1ADD88E14D64}"/>
              </c:ext>
            </c:extLst>
          </c:dPt>
          <c:dPt>
            <c:idx val="8"/>
            <c:marker>
              <c:symbol val="none"/>
            </c:marker>
            <c:bubble3D val="0"/>
            <c:spPr>
              <a:ln w="28575" cap="rnd">
                <a:solidFill>
                  <a:srgbClr val="3F6228"/>
                </a:solidFill>
                <a:round/>
              </a:ln>
              <a:effectLst/>
            </c:spPr>
            <c:extLst>
              <c:ext xmlns:c16="http://schemas.microsoft.com/office/drawing/2014/chart" uri="{C3380CC4-5D6E-409C-BE32-E72D297353CC}">
                <c16:uniqueId val="{00000000-3388-4DBE-B173-1ADD88E14D64}"/>
              </c:ext>
            </c:extLst>
          </c:dPt>
          <c:dLbls>
            <c:dLbl>
              <c:idx val="6"/>
              <c:layout>
                <c:manualLayout>
                  <c:x val="-8.558100494364923E-2"/>
                  <c:y val="4.31184885485595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88-4DBE-B173-1ADD88E14D64}"/>
                </c:ext>
              </c:extLst>
            </c:dLbl>
            <c:dLbl>
              <c:idx val="7"/>
              <c:layout>
                <c:manualLayout>
                  <c:x val="-8.3275638668144525E-2"/>
                  <c:y val="-5.04052388015462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88-4DBE-B173-1ADD88E14D64}"/>
                </c:ext>
              </c:extLst>
            </c:dLbl>
            <c:dLbl>
              <c:idx val="8"/>
              <c:layout>
                <c:manualLayout>
                  <c:x val="-8.558100494364923E-2"/>
                  <c:y val="-0.1205480343141255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88-4DBE-B173-1ADD88E14D64}"/>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ANALYSIS'!$A$143:$A$155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ANALYSIS'!$B$143:$B$155</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1554-4E23-94F7-A02926EE352B}"/>
            </c:ext>
          </c:extLst>
        </c:ser>
        <c:dLbls>
          <c:dLblPos val="t"/>
          <c:showLegendKey val="0"/>
          <c:showVal val="1"/>
          <c:showCatName val="0"/>
          <c:showSerName val="0"/>
          <c:showPercent val="0"/>
          <c:showBubbleSize val="0"/>
        </c:dLbls>
        <c:smooth val="0"/>
        <c:axId val="1229516511"/>
        <c:axId val="1229519391"/>
      </c:lineChart>
      <c:catAx>
        <c:axId val="122951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en-US"/>
          </a:p>
        </c:txPr>
        <c:crossAx val="1229519391"/>
        <c:crosses val="autoZero"/>
        <c:auto val="1"/>
        <c:lblAlgn val="ctr"/>
        <c:lblOffset val="100"/>
        <c:noMultiLvlLbl val="0"/>
      </c:catAx>
      <c:valAx>
        <c:axId val="1229519391"/>
        <c:scaling>
          <c:orientation val="minMax"/>
        </c:scaling>
        <c:delete val="1"/>
        <c:axPos val="l"/>
        <c:numFmt formatCode="&quot;$&quot;#,##0.00" sourceLinked="1"/>
        <c:majorTickMark val="none"/>
        <c:minorTickMark val="none"/>
        <c:tickLblPos val="nextTo"/>
        <c:crossAx val="122951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chemeClr val="accent6">
          <a:alpha val="51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[TASK 22.xlsx]PIVOT ANALYSIS!PivotTable7</c:name>
    <c:fmtId val="13"/>
  </c:pivotSource>
  <c:chart>
    <c:autoTitleDeleted val="1"/>
    <c:pivotFmts>
      <c:pivotFmt>
        <c:idx val="0"/>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layout>
            <c:manualLayout>
              <c:x val="-3.5466866668144456E-2"/>
              <c:y val="-1.74492494761790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layout>
            <c:manualLayout>
              <c:x val="-8.2017129170084066E-2"/>
              <c:y val="-4.5368048638065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layout>
            <c:manualLayout>
              <c:x val="-7.5367091669806985E-2"/>
              <c:y val="-6.97969979047161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c:spPr>
        <c:marker>
          <c:symbol val="none"/>
        </c:marker>
        <c:dLbl>
          <c:idx val="0"/>
          <c:layout>
            <c:manualLayout>
              <c:x val="-0.13078407083878271"/>
              <c:y val="4.5368048638065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solidFill>
            <a:round/>
          </a:ln>
          <a:effectLst/>
        </c:spPr>
        <c:marker>
          <c:symbol val="none"/>
        </c:marker>
        <c:dLbl>
          <c:idx val="0"/>
          <c:layout>
            <c:manualLayout>
              <c:x val="6.4283695836011734E-2"/>
              <c:y val="0.108185346752309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solidFill>
            <a:round/>
          </a:ln>
          <a:effectLst/>
        </c:spPr>
        <c:marker>
          <c:symbol val="none"/>
        </c:marker>
        <c:dLbl>
          <c:idx val="0"/>
          <c:layout>
            <c:manualLayout>
              <c:x val="0.13965078750581869"/>
              <c:y val="7.67766976951877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solidFill>
            <a:round/>
          </a:ln>
          <a:effectLst/>
        </c:spPr>
        <c:marker>
          <c:symbol val="none"/>
        </c:marker>
        <c:dLbl>
          <c:idx val="0"/>
          <c:layout>
            <c:manualLayout>
              <c:x val="0.15073418333961391"/>
              <c:y val="3.48984989523580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solidFill>
            <a:round/>
          </a:ln>
          <a:effectLst/>
        </c:spPr>
        <c:marker>
          <c:symbol val="none"/>
        </c:marker>
        <c:dLbl>
          <c:idx val="0"/>
          <c:layout>
            <c:manualLayout>
              <c:x val="0.15746717243341488"/>
              <c:y val="-1.59282677528343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6"/>
            </a:solidFill>
            <a:round/>
          </a:ln>
          <a:effectLst/>
        </c:spPr>
        <c:marker>
          <c:symbol val="none"/>
        </c:marker>
        <c:dLbl>
          <c:idx val="0"/>
          <c:layout>
            <c:manualLayout>
              <c:x val="0.14652188165729621"/>
              <c:y val="-0.1141510166609445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41727501710072"/>
                  <c:h val="2.4376738913887266E-2"/>
                </c:manualLayout>
              </c15:layout>
            </c:ext>
          </c:extLst>
        </c:dLbl>
      </c:pivotFmt>
      <c:pivotFmt>
        <c:idx val="10"/>
        <c:spPr>
          <a:solidFill>
            <a:schemeClr val="accent1"/>
          </a:solidFill>
          <a:ln w="28575" cap="rnd">
            <a:solidFill>
              <a:schemeClr val="accent6"/>
            </a:solidFill>
            <a:round/>
          </a:ln>
          <a:effectLst/>
        </c:spPr>
        <c:marker>
          <c:symbol val="none"/>
        </c:marker>
        <c:dLbl>
          <c:idx val="0"/>
          <c:layout>
            <c:manualLayout>
              <c:x val="1.1221589277462189E-2"/>
              <c:y val="-0.26747592325249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6"/>
            </a:solidFill>
            <a:round/>
          </a:ln>
          <a:effectLst/>
        </c:spPr>
        <c:marker>
          <c:symbol val="none"/>
        </c:marker>
        <c:dLbl>
          <c:idx val="0"/>
          <c:layout>
            <c:manualLayout>
              <c:x val="1.1221589277462189E-2"/>
              <c:y val="-0.267475923252499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6"/>
            </a:solidFill>
            <a:round/>
          </a:ln>
          <a:effectLst/>
        </c:spPr>
        <c:marker>
          <c:symbol val="none"/>
        </c:marker>
        <c:dLbl>
          <c:idx val="0"/>
          <c:layout>
            <c:manualLayout>
              <c:x val="0.14652188165729621"/>
              <c:y val="-0.1141510166609445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41727501710072"/>
                  <c:h val="2.4376738913887266E-2"/>
                </c:manualLayout>
              </c15:layout>
            </c:ext>
          </c:extLst>
        </c:dLbl>
      </c:pivotFmt>
      <c:pivotFmt>
        <c:idx val="14"/>
        <c:spPr>
          <a:solidFill>
            <a:schemeClr val="accent1"/>
          </a:solidFill>
          <a:ln w="28575" cap="rnd">
            <a:solidFill>
              <a:schemeClr val="accent6"/>
            </a:solidFill>
            <a:round/>
          </a:ln>
          <a:effectLst/>
        </c:spPr>
        <c:marker>
          <c:symbol val="none"/>
        </c:marker>
        <c:dLbl>
          <c:idx val="0"/>
          <c:layout>
            <c:manualLayout>
              <c:x val="0.15746717243341488"/>
              <c:y val="-1.59282677528343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6"/>
            </a:solidFill>
            <a:round/>
          </a:ln>
          <a:effectLst/>
        </c:spPr>
        <c:marker>
          <c:symbol val="none"/>
        </c:marker>
        <c:dLbl>
          <c:idx val="0"/>
          <c:layout>
            <c:manualLayout>
              <c:x val="0.15073418333961391"/>
              <c:y val="3.489849895235805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6"/>
            </a:solidFill>
            <a:round/>
          </a:ln>
          <a:effectLst/>
        </c:spPr>
        <c:marker>
          <c:symbol val="none"/>
        </c:marker>
        <c:dLbl>
          <c:idx val="0"/>
          <c:layout>
            <c:manualLayout>
              <c:x val="0.13965078750581869"/>
              <c:y val="7.67766976951877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6"/>
            </a:solidFill>
            <a:round/>
          </a:ln>
          <a:effectLst/>
        </c:spPr>
        <c:marker>
          <c:symbol val="none"/>
        </c:marker>
        <c:dLbl>
          <c:idx val="0"/>
          <c:layout>
            <c:manualLayout>
              <c:x val="6.4283695836011734E-2"/>
              <c:y val="0.108185346752309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6"/>
            </a:solidFill>
            <a:round/>
          </a:ln>
          <a:effectLst/>
        </c:spPr>
        <c:marker>
          <c:symbol val="none"/>
        </c:marker>
        <c:dLbl>
          <c:idx val="0"/>
          <c:layout>
            <c:manualLayout>
              <c:x val="-0.13078407083878271"/>
              <c:y val="4.5368048638065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6"/>
            </a:solidFill>
            <a:round/>
          </a:ln>
          <a:effectLst/>
        </c:spPr>
        <c:marker>
          <c:symbol val="none"/>
        </c:marker>
        <c:dLbl>
          <c:idx val="0"/>
          <c:layout>
            <c:manualLayout>
              <c:x val="-7.5367091669806985E-2"/>
              <c:y val="-6.97969979047161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6"/>
            </a:solidFill>
            <a:round/>
          </a:ln>
          <a:effectLst/>
        </c:spPr>
        <c:marker>
          <c:symbol val="none"/>
        </c:marker>
        <c:dLbl>
          <c:idx val="0"/>
          <c:layout>
            <c:manualLayout>
              <c:x val="-8.2017129170084066E-2"/>
              <c:y val="-4.5368048638065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6"/>
            </a:solidFill>
            <a:round/>
          </a:ln>
          <a:effectLst/>
        </c:spPr>
        <c:marker>
          <c:symbol val="none"/>
        </c:marker>
        <c:dLbl>
          <c:idx val="0"/>
          <c:layout>
            <c:manualLayout>
              <c:x val="-3.5466866668144456E-2"/>
              <c:y val="-1.74492494761790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3A592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rgbClr val="3A5925"/>
            </a:solidFill>
            <a:round/>
          </a:ln>
          <a:effectLst/>
        </c:spPr>
        <c:marker>
          <c:symbol val="none"/>
        </c:marker>
        <c:dLbl>
          <c:idx val="0"/>
          <c:layout>
            <c:manualLayout>
              <c:x val="0.25339218358446547"/>
              <c:y val="0.1462188602589061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rgbClr val="3A5925"/>
            </a:solidFill>
            <a:round/>
          </a:ln>
          <a:effectLst/>
        </c:spPr>
        <c:marker>
          <c:symbol val="none"/>
        </c:marker>
        <c:dLbl>
          <c:idx val="0"/>
          <c:layout>
            <c:manualLayout>
              <c:x val="0.215267402867414"/>
              <c:y val="0.1685133330875172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3A5925"/>
            </a:solidFill>
            <a:round/>
          </a:ln>
          <a:effectLst/>
        </c:spPr>
        <c:marker>
          <c:symbol val="none"/>
        </c:marker>
        <c:dLbl>
          <c:idx val="0"/>
          <c:layout>
            <c:manualLayout>
              <c:x val="0.10262941942560892"/>
              <c:y val="0.201951207171653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3A5925"/>
            </a:solidFill>
            <a:round/>
          </a:ln>
          <a:effectLst/>
        </c:spPr>
        <c:marker>
          <c:symbol val="none"/>
        </c:marker>
        <c:dLbl>
          <c:idx val="0"/>
          <c:layout>
            <c:manualLayout>
              <c:x val="-5.2970022929346543E-2"/>
              <c:y val="0.19736140700866098"/>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3A5925"/>
            </a:solidFill>
            <a:round/>
          </a:ln>
          <a:effectLst/>
        </c:spPr>
        <c:marker>
          <c:symbol val="none"/>
        </c:marker>
        <c:dLbl>
          <c:idx val="0"/>
          <c:layout>
            <c:manualLayout>
              <c:x val="-0.19863758598504955"/>
              <c:y val="0.1376940048897634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3A5925"/>
            </a:solidFill>
            <a:round/>
          </a:ln>
          <a:effectLst/>
        </c:spPr>
        <c:marker>
          <c:symbol val="none"/>
        </c:marker>
        <c:dLbl>
          <c:idx val="0"/>
          <c:layout>
            <c:manualLayout>
              <c:x val="-0.20254097814194078"/>
              <c:y val="9.962644751587597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3A5925"/>
            </a:solidFill>
            <a:round/>
          </a:ln>
          <a:effectLst/>
        </c:spPr>
        <c:marker>
          <c:symbol val="none"/>
        </c:marker>
        <c:dLbl>
          <c:idx val="0"/>
          <c:layout>
            <c:manualLayout>
              <c:x val="-0.20525883885121785"/>
              <c:y val="5.966740211889751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rgbClr val="3A5925"/>
            </a:solidFill>
            <a:round/>
          </a:ln>
          <a:effectLst/>
        </c:spPr>
        <c:marker>
          <c:symbol val="none"/>
        </c:marker>
        <c:dLbl>
          <c:idx val="0"/>
          <c:layout>
            <c:manualLayout>
              <c:x val="-0.1853950802527129"/>
              <c:y val="2.753880097795269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rgbClr val="3A5925"/>
            </a:solidFill>
            <a:round/>
          </a:ln>
          <a:effectLst/>
        </c:spPr>
        <c:marker>
          <c:symbol val="none"/>
        </c:marker>
        <c:dLbl>
          <c:idx val="0"/>
          <c:layout>
            <c:manualLayout>
              <c:x val="-0.19532695955196538"/>
              <c:y val="1.835920065196842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rgbClr val="3A5925"/>
            </a:solidFill>
            <a:round/>
          </a:ln>
          <a:effectLst/>
        </c:spPr>
        <c:marker>
          <c:symbol val="none"/>
        </c:marker>
        <c:dLbl>
          <c:idx val="0"/>
          <c:layout>
            <c:manualLayout>
              <c:x val="-0.1428980603443244"/>
              <c:y val="-4.344328092081135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rgbClr val="3A5925"/>
            </a:solidFill>
            <a:round/>
          </a:ln>
          <a:effectLst/>
        </c:spPr>
        <c:marker>
          <c:symbol val="none"/>
        </c:marker>
        <c:dLbl>
          <c:idx val="0"/>
          <c:layout>
            <c:manualLayout>
              <c:x val="-9.9707051547685503E-3"/>
              <c:y val="-0.3518714979454613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rgbClr val="3A5925"/>
            </a:solidFill>
            <a:round/>
          </a:ln>
          <a:effectLst/>
        </c:spPr>
        <c:marker>
          <c:symbol val="none"/>
        </c:marker>
        <c:dLbl>
          <c:idx val="0"/>
          <c:layout>
            <c:manualLayout>
              <c:x val="0.2549932584362945"/>
              <c:y val="-0.2425810113709565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rgbClr val="3A5925"/>
            </a:solidFill>
            <a:round/>
          </a:ln>
          <a:effectLst/>
        </c:spPr>
        <c:marker>
          <c:symbol val="none"/>
        </c:marker>
        <c:dLbl>
          <c:idx val="0"/>
          <c:layout>
            <c:manualLayout>
              <c:x val="0.26485011464673269"/>
              <c:y val="-0.1009756035858266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rgbClr val="3A5925"/>
            </a:solidFill>
            <a:round/>
          </a:ln>
          <a:effectLst/>
        </c:spPr>
        <c:marker>
          <c:symbol val="none"/>
        </c:marker>
        <c:dLbl>
          <c:idx val="0"/>
          <c:layout>
            <c:manualLayout>
              <c:x val="0.28795186136455309"/>
              <c:y val="-1.376952698117343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rgbClr val="3A5925"/>
            </a:solidFill>
            <a:round/>
          </a:ln>
          <a:effectLst/>
        </c:spPr>
        <c:marker>
          <c:symbol val="none"/>
        </c:marker>
        <c:dLbl>
          <c:idx val="0"/>
          <c:layout>
            <c:manualLayout>
              <c:x val="0.27803215042908003"/>
              <c:y val="6.884701486637677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0204481835732"/>
          <c:y val="0.11106589394933873"/>
          <c:w val="0.8738979551816427"/>
          <c:h val="0.83821908598247008"/>
        </c:manualLayout>
      </c:layout>
      <c:radarChart>
        <c:radarStyle val="marker"/>
        <c:varyColors val="0"/>
        <c:ser>
          <c:idx val="0"/>
          <c:order val="0"/>
          <c:tx>
            <c:strRef>
              <c:f>'PIVOT ANALYSIS'!$B$191</c:f>
              <c:strCache>
                <c:ptCount val="1"/>
                <c:pt idx="0">
                  <c:v>Total</c:v>
                </c:pt>
              </c:strCache>
            </c:strRef>
          </c:tx>
          <c:spPr>
            <a:ln w="28575" cap="rnd">
              <a:solidFill>
                <a:srgbClr val="3A5925"/>
              </a:solidFill>
              <a:round/>
            </a:ln>
            <a:effectLst/>
          </c:spPr>
          <c:marker>
            <c:symbol val="none"/>
          </c:marker>
          <c:dPt>
            <c:idx val="0"/>
            <c:marker>
              <c:symbol val="none"/>
            </c:marker>
            <c:bubble3D val="0"/>
            <c:spPr>
              <a:ln w="28575" cap="rnd">
                <a:solidFill>
                  <a:srgbClr val="3A5925"/>
                </a:solidFill>
                <a:round/>
              </a:ln>
              <a:effectLst/>
            </c:spPr>
            <c:extLst>
              <c:ext xmlns:c16="http://schemas.microsoft.com/office/drawing/2014/chart" uri="{C3380CC4-5D6E-409C-BE32-E72D297353CC}">
                <c16:uniqueId val="{00000001-A08A-41AF-A906-EC76047F4EB5}"/>
              </c:ext>
            </c:extLst>
          </c:dPt>
          <c:dPt>
            <c:idx val="1"/>
            <c:marker>
              <c:symbol val="none"/>
            </c:marker>
            <c:bubble3D val="0"/>
            <c:spPr>
              <a:ln w="28575" cap="rnd">
                <a:solidFill>
                  <a:srgbClr val="3A5925"/>
                </a:solidFill>
                <a:round/>
              </a:ln>
              <a:effectLst/>
            </c:spPr>
            <c:extLst>
              <c:ext xmlns:c16="http://schemas.microsoft.com/office/drawing/2014/chart" uri="{C3380CC4-5D6E-409C-BE32-E72D297353CC}">
                <c16:uniqueId val="{00000003-A08A-41AF-A906-EC76047F4EB5}"/>
              </c:ext>
            </c:extLst>
          </c:dPt>
          <c:dPt>
            <c:idx val="2"/>
            <c:marker>
              <c:symbol val="none"/>
            </c:marker>
            <c:bubble3D val="0"/>
            <c:spPr>
              <a:ln w="28575" cap="rnd">
                <a:solidFill>
                  <a:srgbClr val="3A5925"/>
                </a:solidFill>
                <a:round/>
              </a:ln>
              <a:effectLst/>
            </c:spPr>
            <c:extLst>
              <c:ext xmlns:c16="http://schemas.microsoft.com/office/drawing/2014/chart" uri="{C3380CC4-5D6E-409C-BE32-E72D297353CC}">
                <c16:uniqueId val="{00000005-A08A-41AF-A906-EC76047F4EB5}"/>
              </c:ext>
            </c:extLst>
          </c:dPt>
          <c:dPt>
            <c:idx val="3"/>
            <c:marker>
              <c:symbol val="none"/>
            </c:marker>
            <c:bubble3D val="0"/>
            <c:spPr>
              <a:ln w="28575" cap="rnd">
                <a:solidFill>
                  <a:srgbClr val="3A5925"/>
                </a:solidFill>
                <a:round/>
              </a:ln>
              <a:effectLst/>
            </c:spPr>
            <c:extLst>
              <c:ext xmlns:c16="http://schemas.microsoft.com/office/drawing/2014/chart" uri="{C3380CC4-5D6E-409C-BE32-E72D297353CC}">
                <c16:uniqueId val="{00000007-A08A-41AF-A906-EC76047F4EB5}"/>
              </c:ext>
            </c:extLst>
          </c:dPt>
          <c:dPt>
            <c:idx val="4"/>
            <c:marker>
              <c:symbol val="none"/>
            </c:marker>
            <c:bubble3D val="0"/>
            <c:spPr>
              <a:ln w="28575" cap="rnd">
                <a:solidFill>
                  <a:srgbClr val="3A5925"/>
                </a:solidFill>
                <a:round/>
              </a:ln>
              <a:effectLst/>
            </c:spPr>
            <c:extLst>
              <c:ext xmlns:c16="http://schemas.microsoft.com/office/drawing/2014/chart" uri="{C3380CC4-5D6E-409C-BE32-E72D297353CC}">
                <c16:uniqueId val="{00000009-A08A-41AF-A906-EC76047F4EB5}"/>
              </c:ext>
            </c:extLst>
          </c:dPt>
          <c:dPt>
            <c:idx val="5"/>
            <c:marker>
              <c:symbol val="none"/>
            </c:marker>
            <c:bubble3D val="0"/>
            <c:spPr>
              <a:ln w="28575" cap="rnd">
                <a:solidFill>
                  <a:srgbClr val="3A5925"/>
                </a:solidFill>
                <a:round/>
              </a:ln>
              <a:effectLst/>
            </c:spPr>
            <c:extLst>
              <c:ext xmlns:c16="http://schemas.microsoft.com/office/drawing/2014/chart" uri="{C3380CC4-5D6E-409C-BE32-E72D297353CC}">
                <c16:uniqueId val="{0000000B-A08A-41AF-A906-EC76047F4EB5}"/>
              </c:ext>
            </c:extLst>
          </c:dPt>
          <c:dPt>
            <c:idx val="6"/>
            <c:marker>
              <c:symbol val="none"/>
            </c:marker>
            <c:bubble3D val="0"/>
            <c:spPr>
              <a:ln w="28575" cap="rnd">
                <a:solidFill>
                  <a:srgbClr val="3A5925"/>
                </a:solidFill>
                <a:round/>
              </a:ln>
              <a:effectLst/>
            </c:spPr>
            <c:extLst>
              <c:ext xmlns:c16="http://schemas.microsoft.com/office/drawing/2014/chart" uri="{C3380CC4-5D6E-409C-BE32-E72D297353CC}">
                <c16:uniqueId val="{0000000D-A08A-41AF-A906-EC76047F4EB5}"/>
              </c:ext>
            </c:extLst>
          </c:dPt>
          <c:dPt>
            <c:idx val="7"/>
            <c:marker>
              <c:symbol val="none"/>
            </c:marker>
            <c:bubble3D val="0"/>
            <c:spPr>
              <a:ln w="28575" cap="rnd">
                <a:solidFill>
                  <a:srgbClr val="3A5925"/>
                </a:solidFill>
                <a:round/>
              </a:ln>
              <a:effectLst/>
            </c:spPr>
            <c:extLst>
              <c:ext xmlns:c16="http://schemas.microsoft.com/office/drawing/2014/chart" uri="{C3380CC4-5D6E-409C-BE32-E72D297353CC}">
                <c16:uniqueId val="{0000000F-A08A-41AF-A906-EC76047F4EB5}"/>
              </c:ext>
            </c:extLst>
          </c:dPt>
          <c:dPt>
            <c:idx val="8"/>
            <c:marker>
              <c:symbol val="none"/>
            </c:marker>
            <c:bubble3D val="0"/>
            <c:spPr>
              <a:ln w="28575" cap="rnd">
                <a:solidFill>
                  <a:srgbClr val="3A5925"/>
                </a:solidFill>
                <a:round/>
              </a:ln>
              <a:effectLst/>
            </c:spPr>
            <c:extLst>
              <c:ext xmlns:c16="http://schemas.microsoft.com/office/drawing/2014/chart" uri="{C3380CC4-5D6E-409C-BE32-E72D297353CC}">
                <c16:uniqueId val="{00000011-A08A-41AF-A906-EC76047F4EB5}"/>
              </c:ext>
            </c:extLst>
          </c:dPt>
          <c:dPt>
            <c:idx val="9"/>
            <c:marker>
              <c:symbol val="none"/>
            </c:marker>
            <c:bubble3D val="0"/>
            <c:spPr>
              <a:ln w="28575" cap="rnd">
                <a:solidFill>
                  <a:srgbClr val="3A5925"/>
                </a:solidFill>
                <a:round/>
              </a:ln>
              <a:effectLst/>
            </c:spPr>
            <c:extLst>
              <c:ext xmlns:c16="http://schemas.microsoft.com/office/drawing/2014/chart" uri="{C3380CC4-5D6E-409C-BE32-E72D297353CC}">
                <c16:uniqueId val="{00000013-A08A-41AF-A906-EC76047F4EB5}"/>
              </c:ext>
            </c:extLst>
          </c:dPt>
          <c:dPt>
            <c:idx val="10"/>
            <c:marker>
              <c:symbol val="none"/>
            </c:marker>
            <c:bubble3D val="0"/>
            <c:spPr>
              <a:ln w="28575" cap="rnd">
                <a:solidFill>
                  <a:srgbClr val="3A5925"/>
                </a:solidFill>
                <a:round/>
              </a:ln>
              <a:effectLst/>
            </c:spPr>
            <c:extLst>
              <c:ext xmlns:c16="http://schemas.microsoft.com/office/drawing/2014/chart" uri="{C3380CC4-5D6E-409C-BE32-E72D297353CC}">
                <c16:uniqueId val="{00000010-0680-493D-A18F-9141B7414B9E}"/>
              </c:ext>
            </c:extLst>
          </c:dPt>
          <c:dPt>
            <c:idx val="11"/>
            <c:marker>
              <c:symbol val="none"/>
            </c:marker>
            <c:bubble3D val="0"/>
            <c:spPr>
              <a:ln w="28575" cap="rnd">
                <a:solidFill>
                  <a:srgbClr val="3A5925"/>
                </a:solidFill>
                <a:round/>
              </a:ln>
              <a:effectLst/>
            </c:spPr>
            <c:extLst>
              <c:ext xmlns:c16="http://schemas.microsoft.com/office/drawing/2014/chart" uri="{C3380CC4-5D6E-409C-BE32-E72D297353CC}">
                <c16:uniqueId val="{00000012-0680-493D-A18F-9141B7414B9E}"/>
              </c:ext>
            </c:extLst>
          </c:dPt>
          <c:dPt>
            <c:idx val="12"/>
            <c:marker>
              <c:symbol val="none"/>
            </c:marker>
            <c:bubble3D val="0"/>
            <c:spPr>
              <a:ln w="28575" cap="rnd">
                <a:solidFill>
                  <a:srgbClr val="3A5925"/>
                </a:solidFill>
                <a:round/>
              </a:ln>
              <a:effectLst/>
            </c:spPr>
            <c:extLst>
              <c:ext xmlns:c16="http://schemas.microsoft.com/office/drawing/2014/chart" uri="{C3380CC4-5D6E-409C-BE32-E72D297353CC}">
                <c16:uniqueId val="{00000014-0680-493D-A18F-9141B7414B9E}"/>
              </c:ext>
            </c:extLst>
          </c:dPt>
          <c:dPt>
            <c:idx val="13"/>
            <c:marker>
              <c:symbol val="none"/>
            </c:marker>
            <c:bubble3D val="0"/>
            <c:spPr>
              <a:ln w="28575" cap="rnd">
                <a:solidFill>
                  <a:srgbClr val="3A5925"/>
                </a:solidFill>
                <a:round/>
              </a:ln>
              <a:effectLst/>
            </c:spPr>
            <c:extLst>
              <c:ext xmlns:c16="http://schemas.microsoft.com/office/drawing/2014/chart" uri="{C3380CC4-5D6E-409C-BE32-E72D297353CC}">
                <c16:uniqueId val="{00000016-0680-493D-A18F-9141B7414B9E}"/>
              </c:ext>
            </c:extLst>
          </c:dPt>
          <c:dPt>
            <c:idx val="14"/>
            <c:marker>
              <c:symbol val="none"/>
            </c:marker>
            <c:bubble3D val="0"/>
            <c:spPr>
              <a:ln w="28575" cap="rnd">
                <a:solidFill>
                  <a:srgbClr val="3A5925"/>
                </a:solidFill>
                <a:round/>
              </a:ln>
              <a:effectLst/>
            </c:spPr>
            <c:extLst>
              <c:ext xmlns:c16="http://schemas.microsoft.com/office/drawing/2014/chart" uri="{C3380CC4-5D6E-409C-BE32-E72D297353CC}">
                <c16:uniqueId val="{00000018-0680-493D-A18F-9141B7414B9E}"/>
              </c:ext>
            </c:extLst>
          </c:dPt>
          <c:dLbls>
            <c:dLbl>
              <c:idx val="0"/>
              <c:layout>
                <c:manualLayout>
                  <c:x val="-9.9707051547685503E-3"/>
                  <c:y val="-0.351871497945461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8A-41AF-A906-EC76047F4EB5}"/>
                </c:ext>
              </c:extLst>
            </c:dLbl>
            <c:dLbl>
              <c:idx val="1"/>
              <c:layout>
                <c:manualLayout>
                  <c:x val="0.2549932584362945"/>
                  <c:y val="-0.242581011370956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8A-41AF-A906-EC76047F4EB5}"/>
                </c:ext>
              </c:extLst>
            </c:dLbl>
            <c:dLbl>
              <c:idx val="2"/>
              <c:layout>
                <c:manualLayout>
                  <c:x val="0.26485011464673269"/>
                  <c:y val="-0.100975603585826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8A-41AF-A906-EC76047F4EB5}"/>
                </c:ext>
              </c:extLst>
            </c:dLbl>
            <c:dLbl>
              <c:idx val="3"/>
              <c:layout>
                <c:manualLayout>
                  <c:x val="0.28795186136455309"/>
                  <c:y val="-1.37695269811734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8A-41AF-A906-EC76047F4EB5}"/>
                </c:ext>
              </c:extLst>
            </c:dLbl>
            <c:dLbl>
              <c:idx val="4"/>
              <c:layout>
                <c:manualLayout>
                  <c:x val="0.27803215042908003"/>
                  <c:y val="6.88470148663767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8A-41AF-A906-EC76047F4EB5}"/>
                </c:ext>
              </c:extLst>
            </c:dLbl>
            <c:dLbl>
              <c:idx val="5"/>
              <c:layout>
                <c:manualLayout>
                  <c:x val="0.25339218358446547"/>
                  <c:y val="0.146218860258906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08A-41AF-A906-EC76047F4EB5}"/>
                </c:ext>
              </c:extLst>
            </c:dLbl>
            <c:dLbl>
              <c:idx val="6"/>
              <c:layout>
                <c:manualLayout>
                  <c:x val="0.215267402867414"/>
                  <c:y val="0.168513333087517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08A-41AF-A906-EC76047F4EB5}"/>
                </c:ext>
              </c:extLst>
            </c:dLbl>
            <c:dLbl>
              <c:idx val="7"/>
              <c:layout>
                <c:manualLayout>
                  <c:x val="0.10262941942560892"/>
                  <c:y val="0.20195120717165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08A-41AF-A906-EC76047F4EB5}"/>
                </c:ext>
              </c:extLst>
            </c:dLbl>
            <c:dLbl>
              <c:idx val="8"/>
              <c:layout>
                <c:manualLayout>
                  <c:x val="-5.2970022929346543E-2"/>
                  <c:y val="0.197361407008660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08A-41AF-A906-EC76047F4EB5}"/>
                </c:ext>
              </c:extLst>
            </c:dLbl>
            <c:dLbl>
              <c:idx val="9"/>
              <c:layout>
                <c:manualLayout>
                  <c:x val="-0.19863758598504955"/>
                  <c:y val="0.137694004889763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08A-41AF-A906-EC76047F4EB5}"/>
                </c:ext>
              </c:extLst>
            </c:dLbl>
            <c:dLbl>
              <c:idx val="10"/>
              <c:layout>
                <c:manualLayout>
                  <c:x val="-0.20254097814194078"/>
                  <c:y val="9.96264475158759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680-493D-A18F-9141B7414B9E}"/>
                </c:ext>
              </c:extLst>
            </c:dLbl>
            <c:dLbl>
              <c:idx val="11"/>
              <c:layout>
                <c:manualLayout>
                  <c:x val="-0.20525883885121785"/>
                  <c:y val="5.9667402118897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680-493D-A18F-9141B7414B9E}"/>
                </c:ext>
              </c:extLst>
            </c:dLbl>
            <c:dLbl>
              <c:idx val="12"/>
              <c:layout>
                <c:manualLayout>
                  <c:x val="-0.1853950802527129"/>
                  <c:y val="2.7538800977952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0680-493D-A18F-9141B7414B9E}"/>
                </c:ext>
              </c:extLst>
            </c:dLbl>
            <c:dLbl>
              <c:idx val="13"/>
              <c:layout>
                <c:manualLayout>
                  <c:x val="-0.19532695955196538"/>
                  <c:y val="1.83592006519684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0680-493D-A18F-9141B7414B9E}"/>
                </c:ext>
              </c:extLst>
            </c:dLbl>
            <c:dLbl>
              <c:idx val="14"/>
              <c:layout>
                <c:manualLayout>
                  <c:x val="-0.1428980603443244"/>
                  <c:y val="-4.34432809208113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0680-493D-A18F-9141B7414B9E}"/>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'PIVOT ANALYSIS'!$A$192:$A$207</c:f>
              <c:strCache>
                <c:ptCount val="15"/>
                <c:pt idx="0">
                  <c:v>Company AA</c:v>
                </c:pt>
                <c:pt idx="1">
                  <c:v>Company Y</c:v>
                </c:pt>
                <c:pt idx="2">
                  <c:v>Company L</c:v>
                </c:pt>
                <c:pt idx="3">
                  <c:v>Company CC</c:v>
                </c:pt>
                <c:pt idx="4">
                  <c:v>Company G</c:v>
                </c:pt>
                <c:pt idx="5">
                  <c:v>Company K</c:v>
                </c:pt>
                <c:pt idx="6">
                  <c:v>Company C</c:v>
                </c:pt>
                <c:pt idx="7">
                  <c:v>Company Z</c:v>
                </c:pt>
                <c:pt idx="8">
                  <c:v>Company J</c:v>
                </c:pt>
                <c:pt idx="9">
                  <c:v>Company I</c:v>
                </c:pt>
                <c:pt idx="10">
                  <c:v>Company A</c:v>
                </c:pt>
                <c:pt idx="11">
                  <c:v>Company F</c:v>
                </c:pt>
                <c:pt idx="12">
                  <c:v>Company BB</c:v>
                </c:pt>
                <c:pt idx="13">
                  <c:v>Company H</c:v>
                </c:pt>
                <c:pt idx="14">
                  <c:v>Company D</c:v>
                </c:pt>
              </c:strCache>
            </c:strRef>
          </c:cat>
          <c:val>
            <c:numRef>
              <c:f>'PIVOT ANALYSIS'!$B$192:$B$207</c:f>
              <c:numCache>
                <c:formatCode>"$"#,##0.00</c:formatCode>
                <c:ptCount val="15"/>
                <c:pt idx="0">
                  <c:v>1291.5</c:v>
                </c:pt>
                <c:pt idx="1">
                  <c:v>11962</c:v>
                </c:pt>
                <c:pt idx="2">
                  <c:v>14074</c:v>
                </c:pt>
                <c:pt idx="3">
                  <c:v>16350.5</c:v>
                </c:pt>
                <c:pt idx="4">
                  <c:v>17204</c:v>
                </c:pt>
                <c:pt idx="5">
                  <c:v>21937.08</c:v>
                </c:pt>
                <c:pt idx="6">
                  <c:v>27005.38</c:v>
                </c:pt>
                <c:pt idx="7">
                  <c:v>28208.250000000007</c:v>
                </c:pt>
                <c:pt idx="8">
                  <c:v>29133.009999999995</c:v>
                </c:pt>
                <c:pt idx="9">
                  <c:v>32530.6</c:v>
                </c:pt>
                <c:pt idx="10">
                  <c:v>36839.990000000005</c:v>
                </c:pt>
                <c:pt idx="11">
                  <c:v>37428</c:v>
                </c:pt>
                <c:pt idx="12">
                  <c:v>43713</c:v>
                </c:pt>
                <c:pt idx="13">
                  <c:v>50208.35</c:v>
                </c:pt>
                <c:pt idx="14">
                  <c:v>67180.5</c:v>
                </c:pt>
              </c:numCache>
            </c:numRef>
          </c:val>
          <c:extLst>
            <c:ext xmlns:c16="http://schemas.microsoft.com/office/drawing/2014/chart" uri="{C3380CC4-5D6E-409C-BE32-E72D297353CC}">
              <c16:uniqueId val="{00000014-A08A-41AF-A906-EC76047F4EB5}"/>
            </c:ext>
          </c:extLst>
        </c:ser>
        <c:dLbls>
          <c:showLegendKey val="0"/>
          <c:showVal val="1"/>
          <c:showCatName val="0"/>
          <c:showSerName val="0"/>
          <c:showPercent val="0"/>
          <c:showBubbleSize val="0"/>
        </c:dLbls>
        <c:axId val="959553343"/>
        <c:axId val="959557183"/>
      </c:radarChart>
      <c:catAx>
        <c:axId val="959553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59557183"/>
        <c:crosses val="autoZero"/>
        <c:auto val="1"/>
        <c:lblAlgn val="ctr"/>
        <c:lblOffset val="100"/>
        <c:noMultiLvlLbl val="0"/>
      </c:catAx>
      <c:valAx>
        <c:axId val="959557183"/>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95955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ANALYSIS!PivotTable5</c:name>
    <c:fmtId val="14"/>
  </c:pivotSource>
  <c:chart>
    <c:autoTitleDeleted val="1"/>
    <c:pivotFmts>
      <c:pivotFmt>
        <c:idx val="0"/>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3F6228"/>
            </a:solidFill>
            <a:round/>
          </a:ln>
          <a:effectLst/>
        </c:spPr>
        <c:marker>
          <c:symbol val="none"/>
        </c:marker>
      </c:pivotFmt>
      <c:pivotFmt>
        <c:idx val="5"/>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125664536918524E-2"/>
          <c:y val="3.7993670259610724E-3"/>
          <c:w val="0.96976454777207244"/>
          <c:h val="0.98510904368041818"/>
        </c:manualLayout>
      </c:layout>
      <c:lineChart>
        <c:grouping val="standard"/>
        <c:varyColors val="0"/>
        <c:ser>
          <c:idx val="0"/>
          <c:order val="0"/>
          <c:tx>
            <c:strRef>
              <c:f>'PIVOT ANALYSIS'!$B$142</c:f>
              <c:strCache>
                <c:ptCount val="1"/>
                <c:pt idx="0">
                  <c:v>Total</c:v>
                </c:pt>
              </c:strCache>
            </c:strRef>
          </c:tx>
          <c:spPr>
            <a:ln w="28575" cap="rnd">
              <a:solidFill>
                <a:schemeClr val="bg1"/>
              </a:solidFill>
              <a:round/>
            </a:ln>
            <a:effectLst/>
          </c:spPr>
          <c:marker>
            <c:symbol val="none"/>
          </c:marker>
          <c:cat>
            <c:strRef>
              <c:f>'PIVOT ANALYSIS'!$A$143:$A$155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ANALYSIS'!$B$143:$B$155</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1DC6-42CA-BA52-BAE8B6C9DF64}"/>
            </c:ext>
          </c:extLst>
        </c:ser>
        <c:dLbls>
          <c:showLegendKey val="0"/>
          <c:showVal val="0"/>
          <c:showCatName val="0"/>
          <c:showSerName val="0"/>
          <c:showPercent val="0"/>
          <c:showBubbleSize val="0"/>
        </c:dLbls>
        <c:smooth val="0"/>
        <c:axId val="1229516511"/>
        <c:axId val="1229519391"/>
      </c:lineChart>
      <c:catAx>
        <c:axId val="1229516511"/>
        <c:scaling>
          <c:orientation val="minMax"/>
        </c:scaling>
        <c:delete val="1"/>
        <c:axPos val="b"/>
        <c:numFmt formatCode="General" sourceLinked="1"/>
        <c:majorTickMark val="none"/>
        <c:minorTickMark val="none"/>
        <c:tickLblPos val="nextTo"/>
        <c:crossAx val="1229519391"/>
        <c:crosses val="autoZero"/>
        <c:auto val="1"/>
        <c:lblAlgn val="ctr"/>
        <c:lblOffset val="100"/>
        <c:noMultiLvlLbl val="0"/>
      </c:catAx>
      <c:valAx>
        <c:axId val="1229519391"/>
        <c:scaling>
          <c:orientation val="minMax"/>
        </c:scaling>
        <c:delete val="1"/>
        <c:axPos val="l"/>
        <c:numFmt formatCode="&quot;$&quot;#,##0.00" sourceLinked="1"/>
        <c:majorTickMark val="none"/>
        <c:minorTickMark val="none"/>
        <c:tickLblPos val="nextTo"/>
        <c:crossAx val="122951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ANALYSIS!PivotTable5</c:name>
    <c:fmtId val="17"/>
  </c:pivotSource>
  <c:chart>
    <c:autoTitleDeleted val="1"/>
    <c:pivotFmts>
      <c:pivotFmt>
        <c:idx val="0"/>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3F6228"/>
            </a:solidFill>
            <a:round/>
          </a:ln>
          <a:effectLst/>
        </c:spPr>
        <c:marker>
          <c:symbol val="none"/>
        </c:marker>
      </c:pivotFmt>
      <c:pivotFmt>
        <c:idx val="5"/>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082228379557813E-4"/>
          <c:y val="0"/>
          <c:w val="0.96976454777207244"/>
          <c:h val="1"/>
        </c:manualLayout>
      </c:layout>
      <c:lineChart>
        <c:grouping val="standard"/>
        <c:varyColors val="0"/>
        <c:ser>
          <c:idx val="0"/>
          <c:order val="0"/>
          <c:tx>
            <c:strRef>
              <c:f>'PIVOT ANALYSIS'!$B$142</c:f>
              <c:strCache>
                <c:ptCount val="1"/>
                <c:pt idx="0">
                  <c:v>Total</c:v>
                </c:pt>
              </c:strCache>
            </c:strRef>
          </c:tx>
          <c:spPr>
            <a:ln w="28575" cap="rnd">
              <a:solidFill>
                <a:schemeClr val="bg1"/>
              </a:solidFill>
              <a:round/>
            </a:ln>
            <a:effectLst/>
          </c:spPr>
          <c:marker>
            <c:symbol val="none"/>
          </c:marker>
          <c:cat>
            <c:strRef>
              <c:f>'PIVOT ANALYSIS'!$A$143:$A$155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ANALYSIS'!$B$143:$B$155</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1-804A-4AD5-931E-2A5BB2B80690}"/>
            </c:ext>
          </c:extLst>
        </c:ser>
        <c:dLbls>
          <c:showLegendKey val="0"/>
          <c:showVal val="0"/>
          <c:showCatName val="0"/>
          <c:showSerName val="0"/>
          <c:showPercent val="0"/>
          <c:showBubbleSize val="0"/>
        </c:dLbls>
        <c:smooth val="0"/>
        <c:axId val="1229516511"/>
        <c:axId val="1229519391"/>
      </c:lineChart>
      <c:catAx>
        <c:axId val="1229516511"/>
        <c:scaling>
          <c:orientation val="minMax"/>
        </c:scaling>
        <c:delete val="1"/>
        <c:axPos val="b"/>
        <c:numFmt formatCode="General" sourceLinked="1"/>
        <c:majorTickMark val="none"/>
        <c:minorTickMark val="none"/>
        <c:tickLblPos val="nextTo"/>
        <c:crossAx val="1229519391"/>
        <c:crosses val="autoZero"/>
        <c:auto val="1"/>
        <c:lblAlgn val="ctr"/>
        <c:lblOffset val="100"/>
        <c:noMultiLvlLbl val="0"/>
      </c:catAx>
      <c:valAx>
        <c:axId val="1229519391"/>
        <c:scaling>
          <c:orientation val="minMax"/>
        </c:scaling>
        <c:delete val="1"/>
        <c:axPos val="l"/>
        <c:numFmt formatCode="&quot;$&quot;#,##0.00" sourceLinked="1"/>
        <c:majorTickMark val="none"/>
        <c:minorTickMark val="none"/>
        <c:tickLblPos val="nextTo"/>
        <c:crossAx val="12295165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ANALYSIS!PivotTable5</c:name>
    <c:fmtId val="18"/>
  </c:pivotSource>
  <c:chart>
    <c:autoTitleDeleted val="1"/>
    <c:pivotFmts>
      <c:pivotFmt>
        <c:idx val="0"/>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3F6228"/>
            </a:solidFill>
            <a:round/>
          </a:ln>
          <a:effectLst/>
        </c:spPr>
        <c:marker>
          <c:symbol val="none"/>
        </c:marker>
      </c:pivotFmt>
      <c:pivotFmt>
        <c:idx val="5"/>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03839254814265E-4"/>
          <c:y val="3.7998480900045747E-3"/>
          <c:w val="0.96976454777207244"/>
          <c:h val="0.98510904368041818"/>
        </c:manualLayout>
      </c:layout>
      <c:lineChart>
        <c:grouping val="standard"/>
        <c:varyColors val="0"/>
        <c:ser>
          <c:idx val="0"/>
          <c:order val="0"/>
          <c:tx>
            <c:strRef>
              <c:f>'PIVOT ANALYSIS'!$B$142</c:f>
              <c:strCache>
                <c:ptCount val="1"/>
                <c:pt idx="0">
                  <c:v>Total</c:v>
                </c:pt>
              </c:strCache>
            </c:strRef>
          </c:tx>
          <c:spPr>
            <a:ln w="28575" cap="rnd">
              <a:solidFill>
                <a:schemeClr val="bg1"/>
              </a:solidFill>
              <a:round/>
            </a:ln>
            <a:effectLst/>
          </c:spPr>
          <c:marker>
            <c:symbol val="none"/>
          </c:marker>
          <c:cat>
            <c:strRef>
              <c:f>'PIVOT ANALYSIS'!$A$143:$A$155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ANALYSIS'!$B$143:$B$155</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1DC6-42CA-BA52-BAE8B6C9DF64}"/>
            </c:ext>
          </c:extLst>
        </c:ser>
        <c:dLbls>
          <c:showLegendKey val="0"/>
          <c:showVal val="0"/>
          <c:showCatName val="0"/>
          <c:showSerName val="0"/>
          <c:showPercent val="0"/>
          <c:showBubbleSize val="0"/>
        </c:dLbls>
        <c:smooth val="0"/>
        <c:axId val="1229516511"/>
        <c:axId val="1229519391"/>
      </c:lineChart>
      <c:catAx>
        <c:axId val="1229516511"/>
        <c:scaling>
          <c:orientation val="minMax"/>
        </c:scaling>
        <c:delete val="1"/>
        <c:axPos val="b"/>
        <c:numFmt formatCode="General" sourceLinked="1"/>
        <c:majorTickMark val="none"/>
        <c:minorTickMark val="none"/>
        <c:tickLblPos val="nextTo"/>
        <c:crossAx val="1229519391"/>
        <c:crosses val="autoZero"/>
        <c:auto val="1"/>
        <c:lblAlgn val="ctr"/>
        <c:lblOffset val="100"/>
        <c:noMultiLvlLbl val="0"/>
      </c:catAx>
      <c:valAx>
        <c:axId val="1229519391"/>
        <c:scaling>
          <c:orientation val="minMax"/>
        </c:scaling>
        <c:delete val="1"/>
        <c:axPos val="l"/>
        <c:numFmt formatCode="&quot;$&quot;#,##0.00" sourceLinked="1"/>
        <c:majorTickMark val="none"/>
        <c:minorTickMark val="none"/>
        <c:tickLblPos val="nextTo"/>
        <c:crossAx val="122951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ANALYSIS!PivotTable5</c:name>
    <c:fmtId val="19"/>
  </c:pivotSource>
  <c:chart>
    <c:autoTitleDeleted val="1"/>
    <c:pivotFmts>
      <c:pivotFmt>
        <c:idx val="0"/>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3F6228"/>
            </a:solidFill>
            <a:round/>
          </a:ln>
          <a:effectLst/>
        </c:spPr>
        <c:marker>
          <c:symbol val="none"/>
        </c:marker>
      </c:pivotFmt>
      <c:pivotFmt>
        <c:idx val="5"/>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005925792838597E-4"/>
          <c:y val="3.8002212787073678E-3"/>
          <c:w val="0.96976454777207244"/>
          <c:h val="0.98510904368041818"/>
        </c:manualLayout>
      </c:layout>
      <c:lineChart>
        <c:grouping val="standard"/>
        <c:varyColors val="0"/>
        <c:ser>
          <c:idx val="0"/>
          <c:order val="0"/>
          <c:tx>
            <c:strRef>
              <c:f>'PIVOT ANALYSIS'!$B$142</c:f>
              <c:strCache>
                <c:ptCount val="1"/>
                <c:pt idx="0">
                  <c:v>Total</c:v>
                </c:pt>
              </c:strCache>
            </c:strRef>
          </c:tx>
          <c:spPr>
            <a:ln w="28575" cap="rnd">
              <a:solidFill>
                <a:schemeClr val="bg1"/>
              </a:solidFill>
              <a:round/>
            </a:ln>
            <a:effectLst/>
          </c:spPr>
          <c:marker>
            <c:symbol val="none"/>
          </c:marker>
          <c:cat>
            <c:strRef>
              <c:f>'PIVOT ANALYSIS'!$A$143:$A$155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ANALYSIS'!$B$143:$B$155</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1DC6-42CA-BA52-BAE8B6C9DF64}"/>
            </c:ext>
          </c:extLst>
        </c:ser>
        <c:dLbls>
          <c:showLegendKey val="0"/>
          <c:showVal val="0"/>
          <c:showCatName val="0"/>
          <c:showSerName val="0"/>
          <c:showPercent val="0"/>
          <c:showBubbleSize val="0"/>
        </c:dLbls>
        <c:smooth val="0"/>
        <c:axId val="1229516511"/>
        <c:axId val="1229519391"/>
      </c:lineChart>
      <c:catAx>
        <c:axId val="1229516511"/>
        <c:scaling>
          <c:orientation val="minMax"/>
        </c:scaling>
        <c:delete val="1"/>
        <c:axPos val="b"/>
        <c:numFmt formatCode="General" sourceLinked="1"/>
        <c:majorTickMark val="none"/>
        <c:minorTickMark val="none"/>
        <c:tickLblPos val="nextTo"/>
        <c:crossAx val="1229519391"/>
        <c:crosses val="autoZero"/>
        <c:auto val="1"/>
        <c:lblAlgn val="ctr"/>
        <c:lblOffset val="100"/>
        <c:noMultiLvlLbl val="0"/>
      </c:catAx>
      <c:valAx>
        <c:axId val="1229519391"/>
        <c:scaling>
          <c:orientation val="minMax"/>
        </c:scaling>
        <c:delete val="1"/>
        <c:axPos val="l"/>
        <c:numFmt formatCode="&quot;$&quot;#,##0.00" sourceLinked="1"/>
        <c:majorTickMark val="none"/>
        <c:minorTickMark val="none"/>
        <c:tickLblPos val="nextTo"/>
        <c:crossAx val="122951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22.xlsx]PIVOT ANALYSIS!PivotTable5</c:name>
    <c:fmtId val="20"/>
  </c:pivotSource>
  <c:chart>
    <c:autoTitleDeleted val="1"/>
    <c:pivotFmts>
      <c:pivotFmt>
        <c:idx val="0"/>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3F6228"/>
            </a:solidFill>
            <a:round/>
          </a:ln>
          <a:effectLst/>
        </c:spPr>
        <c:marker>
          <c:symbol val="none"/>
        </c:marker>
      </c:pivotFmt>
      <c:pivotFmt>
        <c:idx val="5"/>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3F62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03839254814265E-4"/>
          <c:y val="3.7998480900045747E-3"/>
          <c:w val="0.96976454777207244"/>
          <c:h val="0.98510904368041818"/>
        </c:manualLayout>
      </c:layout>
      <c:lineChart>
        <c:grouping val="standard"/>
        <c:varyColors val="0"/>
        <c:ser>
          <c:idx val="0"/>
          <c:order val="0"/>
          <c:tx>
            <c:strRef>
              <c:f>'PIVOT ANALYSIS'!$B$142</c:f>
              <c:strCache>
                <c:ptCount val="1"/>
                <c:pt idx="0">
                  <c:v>Total</c:v>
                </c:pt>
              </c:strCache>
            </c:strRef>
          </c:tx>
          <c:spPr>
            <a:ln w="28575" cap="rnd">
              <a:solidFill>
                <a:schemeClr val="bg1"/>
              </a:solidFill>
              <a:round/>
            </a:ln>
            <a:effectLst/>
          </c:spPr>
          <c:marker>
            <c:symbol val="none"/>
          </c:marker>
          <c:cat>
            <c:strRef>
              <c:f>'PIVOT ANALYSIS'!$A$143:$A$155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ANALYSIS'!$B$143:$B$155</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1DC6-42CA-BA52-BAE8B6C9DF64}"/>
            </c:ext>
          </c:extLst>
        </c:ser>
        <c:dLbls>
          <c:showLegendKey val="0"/>
          <c:showVal val="0"/>
          <c:showCatName val="0"/>
          <c:showSerName val="0"/>
          <c:showPercent val="0"/>
          <c:showBubbleSize val="0"/>
        </c:dLbls>
        <c:smooth val="0"/>
        <c:axId val="1229516511"/>
        <c:axId val="1229519391"/>
      </c:lineChart>
      <c:catAx>
        <c:axId val="1229516511"/>
        <c:scaling>
          <c:orientation val="minMax"/>
        </c:scaling>
        <c:delete val="1"/>
        <c:axPos val="b"/>
        <c:numFmt formatCode="General" sourceLinked="1"/>
        <c:majorTickMark val="none"/>
        <c:minorTickMark val="none"/>
        <c:tickLblPos val="nextTo"/>
        <c:crossAx val="1229519391"/>
        <c:crosses val="autoZero"/>
        <c:auto val="1"/>
        <c:lblAlgn val="ctr"/>
        <c:lblOffset val="100"/>
        <c:noMultiLvlLbl val="0"/>
      </c:catAx>
      <c:valAx>
        <c:axId val="1229519391"/>
        <c:scaling>
          <c:orientation val="minMax"/>
        </c:scaling>
        <c:delete val="1"/>
        <c:axPos val="l"/>
        <c:numFmt formatCode="&quot;$&quot;#,##0.00" sourceLinked="1"/>
        <c:majorTickMark val="none"/>
        <c:minorTickMark val="none"/>
        <c:tickLblPos val="nextTo"/>
        <c:crossAx val="122951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State Performance by Revenue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Light" panose="020F0302020204030204" pitchFamily="34" charset="0"/>
              <a:cs typeface="Calibri Light" panose="020F0302020204030204" pitchFamily="34" charset="0"/>
            </a:rPr>
            <a:t>State Performance by Revenue</a:t>
          </a:r>
        </a:p>
      </cx:txPr>
    </cx:title>
    <cx:plotArea>
      <cx:plotAreaRegion>
        <cx:series layoutId="treemap" uniqueId="{E7C2B6C6-F311-411B-9E0B-83E357E542DC}">
          <cx:dataLabels>
            <cx:visibility seriesName="0" categoryName="1" value="1"/>
            <cx:separator>, </cx:separator>
          </cx:dataLabels>
          <cx:dataId val="0"/>
          <cx:layoutPr>
            <cx:parentLabelLayout val="overlapping"/>
          </cx:layoutPr>
        </cx:series>
      </cx:plotAreaRegion>
    </cx:plotArea>
    <cx:legend pos="t" align="ctr" overlay="0"/>
  </cx:chart>
  <cx:spPr>
    <a:effectLst>
      <a:outerShdw blurRad="50800" dist="50800" dir="5400000" algn="ctr" rotWithShape="0">
        <a:schemeClr val="accent5">
          <a:alpha val="43000"/>
        </a:scheme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Top 6 Ship Cities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Top 6 Ship Cities</a:t>
          </a:r>
        </a:p>
      </cx:txPr>
    </cx:title>
    <cx:plotArea>
      <cx:plotAreaRegion>
        <cx:series layoutId="treemap" uniqueId="{45465124-CEA5-4033-AD36-53BF952879F7}">
          <cx:tx>
            <cx:txData>
              <cx:f>_xlchart.v1.7</cx:f>
              <cx:v>Revenue</cx:v>
            </cx:txData>
          </cx:tx>
          <cx:spPr>
            <a:solidFill>
              <a:srgbClr val="293E1A"/>
            </a:solidFill>
          </cx:spPr>
          <cx:dataLabels>
            <cx:visibility seriesName="0" categoryName="1" value="1"/>
            <cx:separator>, </cx:separator>
          </cx:dataLabels>
          <cx:dataId val="0"/>
          <cx:layoutPr>
            <cx:parentLabelLayout val="overlapping"/>
          </cx:layoutPr>
        </cx:series>
      </cx:plotAreaRegion>
    </cx:plotArea>
    <cx:legend pos="t" align="ctr" overlay="0"/>
  </cx:chart>
  <cx:spPr>
    <a:effectLst>
      <a:outerShdw blurRad="50800" dist="38100" dir="8100000" algn="tr" rotWithShape="0">
        <a:schemeClr val="accent5">
          <a:alpha val="37000"/>
        </a:scheme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State performance by revenue</cx:v>
        </cx:txData>
      </cx:tx>
      <cx:txPr>
        <a:bodyPr spcFirstLastPara="1" vertOverflow="ellipsis" horzOverflow="overflow" wrap="square" lIns="0" tIns="0" rIns="0" bIns="0" anchor="ctr" anchorCtr="1"/>
        <a:lstStyle/>
        <a:p>
          <a:pPr algn="ctr" rtl="0">
            <a:defRPr/>
          </a:pPr>
          <a:r>
            <a:rPr lang="en-US" sz="1200" b="0" i="0" u="none" strike="noStrike" baseline="0">
              <a:solidFill>
                <a:sysClr val="windowText" lastClr="000000">
                  <a:lumMod val="65000"/>
                  <a:lumOff val="35000"/>
                </a:sysClr>
              </a:solidFill>
              <a:latin typeface="Calibri" panose="020F0502020204030204"/>
            </a:rPr>
            <a:t>State performance by revenue</a:t>
          </a:r>
        </a:p>
      </cx:txPr>
    </cx:title>
    <cx:plotArea>
      <cx:plotAreaRegion>
        <cx:plotSurface>
          <cx:spPr>
            <a:noFill/>
            <a:ln>
              <a:noFill/>
            </a:ln>
          </cx:spPr>
        </cx:plotSurface>
        <cx:series layoutId="regionMap" uniqueId="{2B497ECB-3BD4-4E6F-887D-1150629F5D52}">
          <cx:tx>
            <cx:txData>
              <cx:f>_xlchart.v5.4</cx:f>
              <cx:v>Sum of Revenue</cx:v>
            </cx:txData>
          </cx:tx>
          <cx:dataLabels>
            <cx:numFmt formatCode="$#,##0" sourceLinked="0"/>
            <cx:visibility seriesName="0" categoryName="1" value="0"/>
            <cx:separator>
</cx:separator>
          </cx:dataLabels>
          <cx:dataId val="0"/>
          <cx:layoutPr>
            <cx:geography cultureLanguage="en-US" cultureRegion="US" attribution="Powered by Bing">
              <cx:geoCache provider="{E9337A44-BEBE-4D9F-B70C-5C5E7DAFC167}">
                <cx:binary>1Htrc9w2Eu1fSfnzpQIQL2Jrs1WXnBm9LNmWLDn2F5YsKQT4AgmABMlff5uW7EjjRE62tm5VXLan
hs9Gd+N09+mef99O/7qt72/sT1NTt+5ft9Mvr5T33b9+/tndqvvmxh00+tYaZ37zB7em+dn89pu+
vf/5zt4E3RY/xwjTn2/VjfX306v//BueVtyb1+b2xmvTvhvu7Xxx74bauxfO/eGpn27uGt1utPNW
33r8y6vzj69+um+99vP7ubv/5dWz869++nn/Kd+98acahPLDHdxL4wNJZEwJidGXP+TVT7Vpi8fT
kWAHHM4wjqn88od/fff5TQP3n9+Hnz4aW309+kcSfZHn5u7O3jsHi/ny+fTOZ/I/LO/WDK1fNVaA
8n55ddVqf3/306W/8ffu1U/amezhgsysi7i6/LLqn5/r/D//3jsAetg78sQs+0r70anvrPLm4iUd
/E2rELBKwhNO+IPW5XOr4BgdMJZgxKj4+tYHe7yx94Vpvx7769b4et+eLdZF/QNtsXv9kgb+ni3i
5IBJxjAlDxsE4ee2SOIDmghC4+TxAthBD7vzwSK72lh9d/P14F83ybcb92yyLu4faJP35y+p4O/Z
hLCDhMZSoiR5MEq8ZxN+QCiJORaPqAY2e2qT9/dtC2B0f//18F+3ypNb9+yyLvAfaJfj/+FeoegA
xxQnhD9Giz3cSuQBpoBqLGHfcO2pXY7rWrdGA8Q/HP3rZvn9zj2rrMv7B1rlw/FLOvh7u4XSA06k
ZISjb1p/GuPBKoLEgHHyjxHsg3a3pnX6vwgrT27ds8u6wH+iXf7v/9Au4oBiTJhIxINdIJY/tctD
lOc0QRR/gbk9FPtw4xRknv6/ifdP7923DCzxH2iZ8+v/nWWIPCCMU8rI445J9iyD+QFnjCTiMQDt
Web8frz5b0L+1/v2LLIu7R9okav3/1uLxEQIHrM/jPgY4wMukjiO+V6FcuVv1Ety/HF18nDXnh3W
Bf0D7ZD9DzGLiIOYUc4llg92AM9/hllYHqxpl8AUP4DaV90/ZMPZTa1/M7bVN1+P//UY//TePcus
S/wHWuZ485IW/naUJ4lEAvKvB8V/h1mQBkCIFwliX9/6YJPjuxtlvh766+Z4vG3PEuuS/oGWyN68
pIC/ZwmSHEiZMIbo79XHsz2C2AEU7pAl75WKmYFa8ebuv7DF73fumWNd1z/AHC+L+LQYeHbl3yS7
IKwzBPkWJeIBvED/Tw0j5QFaixciH8sX+tUpHjbKHg3152L9SUx5zmI9W8n/J47rz/mvbyTh5sbf
bL+wi08osJfPfuXO9m59oYh7PHV898srKDugSvxGWq7PeDz7ZxHj97vub5z/5VWEMT3AJKEM8TgG
XozBA8P9w6mYHlAEOQOnKIGoRSFetcZ69YX6RFgAywbptZQxTgAwnRnWUyQ+YAQeCFiZJICYEn9j
dN+aegaG7ZtCHr//1A7NW6Nb7355heEd3cNlX0RFTHIcY6DzBEFAFFHA3+725gJy9/Xq/+MXYrp+
GKbzNhC5HUOuutSQUlRZJcL4jkdsPimnsa22CFX+ozd0vKqom/rUybb/8ER7fyQNVBX70lAkYyEE
RTQBkuS5NLSdu0qqYTyP+xafF9XS5ukgDFfZNHoj0zHQ4aMYu0intkl8n/WlrYo0X5ygWSJFeye9
R2/gGWrYxHWNrxYWJfhw5iy/x3OEp93LEsew7b6TmAueSChSBUpitCexFgpsO/tzMrGi2PBpqa9G
KhOy82I2LB3nCZcbLfIkXQSfdTpXiBw2o53xxo7G36nJOZzpqGMbB3T9mPpGoTEVllXFtjClelsN
8qRxUrkNQIe8dqo/rerApq12ET/TVo3N4cur+t4MgENIgCE4+Ab5sugnTiHmqAhRV7vz1ufy2hQJ
jlNaxeAaXTtMb8Nk5WWX4/rXl1+7+tpTXxRYCAx8pYzBF+G/Vawnr2VoKmjniva8TRZ8jis1nLfO
ZjrJFVQh37bpHzgabJ/v3iRRjAQwPliKZM/PupbOS2+VOU86RG/6YGx9mPtkjtOqU1vUD/WSETQn
JisJC82PnGZ1iucLBUeJGbQ2IF0FdNh7vRBEq6Jt9LnoK3bTlAO7qSD81odsadyWW2PSGYHpD0Pd
hzjtKyPufS3dcZAzfT1xYlFGQmmqrBRtc0VsF5ONSub5vovGboOipREZk4baI2BeliF9WXv4e0Ml
YoUNaAHEFPYqYNpTQyE+sJaxPDrDQ97caOtdkeKo8i1NyTy3xUlQuvpcJLJ7PS292nFDJ53FeBS/
ebEsJptVITJqyvFeWyLuRtYpcfKykJR9Z+SVZyVibVNAh4gJiKhPpeQ20cgqT85K2ne5TDZequVw
8hOROz8OQ2anHr0bm5kNqVJKZBa3hy623WFNuzir6r656GrWTKmoQ/EhlI05np33acf67oq7Ktnk
fZtngylLnWpPypDmpWvPQxe5N320kG1RYFmm0ZK3TRaPqjli3NcXcVm8LeaWTGk9iP7c5/17HzcR
2fAxBkXqOQZsoMOypCgk5etaseRjjgZ6oniCXy/FNMosIEUbSL1mfRwldm7SMCfLBgcWbZZyuu1c
7y8HFAmVhsaLXe764Zjmcfy+VzhUh7mIsE4XVeWfgXmzY6rbPvo0NKLZdJ2LjyvTdse4l/WdHjsO
+5401aWW+STSsafFic3tkM2gh0MMZPibPjTTlgbb7zCe8LitmcBFNoYi6bMxVvm2ccRuhk6+UXlU
oA3Gxh9BqIlD1qKSp4kX9a9Tg9RpbGV3yYhnh4Mso3jneLPcJNzYrUNTuezGKil20TShm9jV4TdX
dB3LltijIW2LeCx2ky8NbI4QtnMxDsnOmlxtak+aoxYuTSWn1oCim1GkpSvLKBN5EKkwbFpS6us8
Iz5qm0PLq21Bhxm9CwRT6IBaVKcleJLfER+kO5yImF7zalnq/N0Qet806azrubV3KldxvHx0IZpE
o1JpAcrNbTw3pSc2HfwwdOjcV76pphOp++VwlIPPjxurdZeWcW0ukYjIcTkTMmQD2CBP5x7JCczV
JMmmzXOIh76uQr/lVShQZmuP8zeqR1yYo2oWQW3mqZb+NXeegEeF3GAXsgFi4Y5HqszfjLB1eJH1
SZeAw5HKNbu21lamdQ/BK99Oo+ZZlEOlzdI5Ry3NjMubJlNyCPku1KJuti6HrGDH2qJZsmRhgJht
XNEha5SN6nR0c+HeOh01zdYUOvktGkah0QaZ2B9qmgzJOYvyIj9pifCClVk7uX6ZjxwCdFPbrlCi
2eZuXPqdtK7Vu7nmzXyEnGu6jMVzrTMxsbk+tLrXUQZmjT9EXbPgDSG8ajbwD0Vv6hJFDlTeth/K
ppHNMbHS19tKeX6xDJ6QXRmZGJ+qoJxoU6Fi5Q9zO3btJQRjclIWS1zthg4k2BpfF8s2wdMis6Sc
u3DWJDO4dgRbxW5yjIcTSxirN0VOimEj2hHMqYWD/KRdSrLc1xWRfJOAAM2GzI3qjzHS9KjQouJZ
XFU92Wij880y5BVLo2A7+bbMQ0kzovtySZuuXKJTlNd0h7u8YCCuFN0Wz2oxx0rjUGwrSVVI1+tS
LLVswX0K0mdT0NGS+klHn2w7mzlKNeyj+BwvrV50mow0Iu/nOsTDOe/kbDat7P0ZG1oISYUTFdwg
GwLayrXC7ccF16066eemnnYusEWfYl/497SM2Q2b8iZPEwzOuxvaSZCt44sG4QdcNpua9JXLkpBv
Ndb9xzoEyCzKohwvHePhc2cVORpFKPJtUjEUp22Sw3NYbcpp19oRny9TR+g75xl+j30EVwQeuSTz
eBbTdoybUh/ZKY7DcSsKF7/RkZDXLepX5yzL3h2K2in3dpqpTzLUB7CNCi0IZhyA7ilEMHlNEgTe
3QBK2k2C5WSOvZN5/La0Q1VdxEkr6fFEyzCc+cmvyaeap7esivi0NaGBVxuzLGM6xY1fDlEl1sWv
ogfAJ5Cra/A5ZS2sYugZqEpVployWY2wdbq6qPS71grY8naArKCAc4CpsW/Vmx7T2bYp6RQCcwc7
DWdNpDqXajT0025CApHtPPbxChqwmTJYEQDIJPGaJ/u2uc5jIk+SUeskTRSrwC/mgt+EloAYky3n
C+In5E4LSHPLU9O1VXmZQLQ4dC3C570s+o8UxbxPFVU6PjFJIYfTXJli3MxW9AES3JkcdjGoNUOi
n2+rumJvp8Ehc9Sjeaw+BN4U7qjJo+a3eZErhui+VhuoAxKy1fGs3K7jjfwQobzZNaEr+lRQgLnZ
BnWhjXensqlKtmGxjQuAPWAy0lHF8tqW0Vhs67iFbbJEOZHHtDW4v28AkOeTBINLbcOK2NuSRaDR
aVzGLQSZ0J9iO8Q8y2XtR4i0ZESQevflJytH+T6aIU0/WaS3+M67dnZpg7EYj3WI4VFTg9WS0VDw
4rgDs4QsqiTfLWYc/dk0i/qyHF2fJsId0WYa2dESOBinQtgth11dGXPW8om+jjyiZqv6thlPizl0
KkuYa9R7yETcHZItwAhApxvTSrngUhnGpIcoMPeXddFj/Ss2C0nGdIEMbL7qPIkkPMzldqtEVBUn
Ud6Fz6pA0ZjVwvHqWEuE300uypdDO/ROb/UygJPq2Jfk7VTVCztveFfXad+NiJ9RrOiUzZDduG1Q
HVgtJK0uUruIBrDDuXqLJzLZzVjHiT1ckh68v6JTITZzPiOX5Z3j/YfAZvy+VBZ8DSKdvAZfb9zb
VrYYADbuZLlLGsVDOg0f42QICU6rahRXLG77sAms8PSM5nUyXvS5kxaCO3j0ttMErAmFwzy91sRX
5rWwnSJv4wnV/DifjIR1TVNUnFU26sKmcTlgBmRjgz+r6xzkt7Iqdk4lldqECaHjuaew72fOhU5p
rsTZl6z0kbt4rDweCvBb081WF+pxqurb1/+8Nw38/TLv8/vBdSjr929nX6e5Xrzq8N6sPITbv2iV
5tuzQJhH6Vb64tmX76iUPyFLHobD/uTkMyblGW/0laBaiYaYQuH8rUL7jkj5Q/bq232PVArnB1JA
9IamJBQemCLopjxQKUDqHzAcw8yFhAhL+UqXPDIpAkO7jAogzmKoUqGQeaRRMBChJGbArmBoCEjo
CvwdGoWstcTvFd36RuiIApVCoGSG8ah4rUWelK41Lm0LEYPdJzj3g9zGHe2iOkPdqJdrxoauuqGR
ZW7X9rOb6cbHE1NTFpkcfS5aS9soM/FUiROp2DxsKhm1/VGQTe3OoALpojk11cS6z6zy5WQ2Eed1
SbICajN8LyYzDxe1mkR9kySsy29JQ3p+XnDddwQgC3iCOqMds80bhZEP7aaoma2A6AmsaV5jMfcg
ctE0eD6NG9KWv0VuNHDPE5M+uv5Truk5q0C5BGYH6jCYv1h7NDFaqZQnOhK40YPiKrnPg2nL/sg3
tKZHNR2dFUeLK7wO2aI7aNLUKNdx/oOqG8PgzTMbSairYZiAkgTyLAzCPH8/5GCJ44jruxJXpNKZ
N4QRyM9lHPXlzk6hsH4DBWNBVRrRaOnat4GS2cUZpgsP5MRz1boqNaYnFp9LlvRw7mUdgQs/lRFC
NCHASUiyDjWubvlcxknpKFaWRHc8siOKN8UiCtHv6oR6gtLWes4/QWaUexhh+Lbdfmyb9b1UUgEU
JYqBnNp/bzfMRpiIJHcFZHWOpyMC+udXBRVjC/VDqQf9ps1hJNVDpWyg0fkDRmElDJ5sH3g9MDEw
fhNLKONj2EPPl12wUUdoUuQuErXoScYC4uwGNlLkj82iRX2uI2zwGan6ebisHEKLSmECoQalvKyI
7yWBxjmnnCVIAglF9/g8JVRelzOyd5QH2HK7GfMFIhSzYXB0C1QU5Z/sACoAApRDT/iTgczGAnOq
DerCD6zynGehArEYRiyANeZsZY/Jnjd4rlE5V21+m8ulZfbQ9F2Tz9soBzpwPpwTO4GLvLx+vIdk
8E6JgDdZNyr07CDZ3TOFXEomOx99VtqKJjqavFo3RDMZBaOvA5QjC810A/lyl05A4oEimEZquGw6
Xs5ZG2HbXspGNbbd9MzY+KIZdes+vyzmc26HCphNQRQ4YoYFYDjMdD2XEqrQxKJ+mT5P1ltwAjRU
COyDpkBYBMksGaPLLoaSCjaND2b90F0x/MA+3ykLYy4oJ4jLBLg8gLbnYiR97PzsuPnc1iwCDC8B
vZYApC/yMzslOQPcd8VgKyD5WAuIarvGYnaURJCwVmmvAG1X5IcSLoCESz2e0qnqTPMDWMH7bo1X
JYl4HUMAC3O+F58mEtpOtgv57PKYR8229K6rh7f94nXXZqGfexAuEs0I58zcN2beJNUyR5eh6/Jj
SLjqssiaZUHzKRSuQAunrUQ899nAUFRfQNJeLEBxETkBJMZROeP2BEGKD0+tdB76/gfbdK9vAUgF
NYHkkiMYUoLWMdtDDPDMth/bsfskmGElyzqUMHDFPB+ktBlegEFRaT4/oGc9UDg3fIGTDucJnJqC
J7zfDYH8eA/RfRSPIduQsJEwjmFU+ju3qCYgVKAw6j5BQattvyXAFdKzGCsynxI3zKAOmY/1ct2o
aZ5FOigbepUB4Ad+UfRLHh3ZhpbLtY0Gx88TzdcEYaJjU8vDamCreYwjElxoHgUbLzpbVsv1UgMf
VKWortegpUH7YCDTSgUHCeSqy3XSTBPYjrByhg+3oMInm4454nZcDKvtqqnQkGD0X14vkyKaQ5qY
qYRHGEgeQHIdtWtu4DvWVDeT423f7eRo8XhJiVn8a2ur3KZ13di4yaIib6ajgkJw/dgmbU6vRzRi
cDKRFJBnjH1rIEV5GRv2URO0L9DaSSBUcEbwnmuQHBhoLLv604IbZwuoxJGAMjmY0tTHZOgDAMXL
b9xHo1gAFkGXbs1KIXbvvxG4QadCQ8JHsgyrM4aBrvAXO1FB8OZjz/inHCggcELgWIAtPxMALOCn
L4uxprPPwiiQ3TwWECsYtBcoZMnP4Wgh49BHkjfXDW0bT1JvBhbdm171gEaqci3e2lwY/XZ0SQGI
0ylmoMmU+Hg0UKeKUEP7KS760zpP+OVEbJ3MqQuYjxc+iZDOerZM5hScCKm0RDSH0pTmHK+bXSHw
QzMqyC6O87Ly684fYYrtDcxFiW5OSWXJNP6gUbWPawl0QtE6VxV/GVmAmuD5iiueqzb0TlyNQ4sg
iWXWxpDEjsvqtxSSLHoEDMYEbjtVksBH4b9kthHvVpcmQxni/DKf+OrSca+Xxh5p6KasENkvDuFd
X4+d04cLmyvYdXlo1pwaz0kDu1PgHrbRD4z4vCNLoVWcJBA2AdXAghijPajuSdsspmzjq8QrAnvL
d8UqgI8IsMSP+xiGO2aQLVfTusUBK1dIsV0PgSZSGNJ4DNwoHDJAt1U3tSwFPdKhXvXQz8Hw87yf
4CqtyLrEuWi421WRsGTXJXYkLpshXsByf7C0vQoAliYxNJmhcwSDPhTyvefW8lOFRT2Y+YoU44pU
3vbgWku9aHPrUVLFbTp70y/XIm7X+NhEBoNBJt7UxbxdGg48406SaAhXkKVaUEcQJQHvI+MCaNLq
SIKL0VB3K7oNAJtHOu4CwJqHjAReqH2O4BvUWBhU0RQUVOG9UJHPWD2UsCWUjEv49qCfFQqrm5eV
sLdHE0gXILsSMUug7ETfpbo4LJTPvI/ej40wgA4P6W2skmmsMqgsoTH4I1jYC0frKymBxB6oc/gH
WdNztaPSQNbaTeK9GzB4iJ+9B4eC2A/6oWVHDdvmITKTS3kNxLQ9qse8hZQFQA+0BExj7d8K7pK8
3OWeAgUDVUg8XliYX4EI0ESw8f3UQqB6NFvRhxZUOdVJC3sFdtFqjqKaVkNEpcbwIedSjhfINAYk
YVUFsanifq1TX9Y2lQQW96S0gMWvQQBAAiYxIAvar2wgHXTQcZrm90rNHHhVP1Sky/KA8vKcxwu1
87ZXlndJKuNYliq1ttf9CaoH6OinHWQ70aktmoie5Y0SJINm8VTcIl2jo5APlG8q0Zr6jpb1Yi8a
wxv4TR4Q5OENHTGalk1StpJ1WQ/5oxt2IbBkPLe9Am4q5Q1q8Gtov2G5aVsrcVZOfrB5aiYg0cpU
taMF6q2YqhE2w7jYMNfpFLGSljsYGhnoJa/9TIsMTXgIw2Eng8I55G954Y+9EpCZZWKpw7JAWQuu
2B1P1ZwPae+6ku9GKQqyYU00Le8DN7G+Hmhd5BtCfYyzGepTM6e8APJ7I3UMnG7B6uJIxMRveoPC
cprLFqFDHLCKdwWw8Aptu8o09GpmY1FFV9KgaXq/9lv9WeR8G11AxBDDHbOc26tFjEVr0s4YrNw7
CXMT0JXUwG4AgUqTxqSyMiRWmbCL65PPuCmT9k7FnRmnDbjK3N9D1ywEBH3a4HB55PO2Z8kG6gBW
88O8iSp+LjEwoNXhyDtoFqp7lbTEg5YnaMlbegajLyO49IKt69Q7+IWC52jbtrTrxPEgodVRv27Z
VPXFthwLH8bXgeWF1rucNmFgF3kbk/6Yl1QVyQ58hZMq7cYFQVivXaKDTIuI8t5vVG6Xcj4OhYuU
Pgy6gWiTVTJQANix0wP71UQDZ9DdDyxEeRYIpC34fOgg65Kpn0ky8Tc1DM3Ah384GGldwzkkoaq3
2WIc7T8v0CqMx5OS266Ij/AURUJkc8mqQRxObYmbOmV0XOMiYpGG5RSEQVC5mfIZfpyRlUxJVrwB
/jl0AvpOURnqnahIFHfH1TDLZHzDYRhCy7SXcuUkhPVMVdeiyPNoOaW0dqCpaO4Bss8AtXvFTiOS
Qy/jNbR6NK7flmUok3wbSgCCYms0JiA7QNYq0jxGNYq3qFCz7jeoq0oLnU6PItb+GhdxC+9rylrK
qwFayn1mofQGzQJRrCGCZJir9SEgP6Qsad/LNaenysHqsw46VoTvShVWjZHaV/BhnPLRZduIFfLp
6ItEZDJ4Aw6wtJBvHHppG7iue1iq8jCYAQ8uYXBJQCxxObytVhiKzBbr1Ty4oypmH3A9rXpuqSyB
S4qGyIIporZKFL3veyho+h10eSHTyoDgnkUPsy2KDRFYkA79cO3LdtAt6CuClt6hGhaKp7MEhrFA
FA2W7pZLDp4FbyBwqv+cR9PqYNxGq+UZzDf1n2vZrKoZRxj60hBikz6ADCP8hgbW+LgeawnpPwPh
puAYmzrDLytGc0mgmyGBAEo7oTDo4tF7YLwK+oEbUUbr4nI/f1HGAF5js8ccV7KFrd+IY9UZQdpG
l4+qjh4u/6rkh+uAKYirMxF3DQiA20iNnyvNO20PdUtmWHQfL/BT6LSISaHRJRTgBUx/sQdDmWX0
4GpQeQ+2OG6xnHOWwrTQOPM3shkMaAk6gTVcAm0FDFIBzZGPMq3QvCa9RcNiOFiLAvWf5YMGTQc7
CHDtYU0q1lCjZZ1pecBH85Cs1Tl6MO2De/C8qkE/nGq4Y8tEvS5+4rMCPy2wXV8DTTIOB2fTI6Gu
lkjTwZ/ASsmq3gdHWoYZ+rNbWOT6FKytg/tgRpSAdzmvVtEfFBotYYEvpiaGim2EGLTmjpeYiak7
LFYSCW2DHgzsaVkWK/PhAthXjyLuP2NetOA+jkHGCou3IyS7bxxw2esD43H9oCOM6oBGYBQDLmkW
tsrfDrxQ4Wqoi7rQu7ZI4LmqJ7ggR5WbBfan5MFXdOmkF4ePKpflaEGcSZMKHgIRwMDLy05XEOdH
3C8cXUHmVibjpusj3+oMuSKHl7NSwWj+xtcdcJs1EAZA2YCZ1HAsTLFuZxjJWomeah54mewqSBan
+YRIV0/myFODYDqhlrRuxjR3BdCGWOIBrle+d/ABSSOrz5t+gP/nJgBvx1DAQBX1wOXX52PlcyAF
gi3h7VgVZrzmbT5BFZBDoxI8I0iA8nI3kT4GhEmsqodkWzcQYpvtFLU5zGYxCaFq+oj4VALeFLUx
VXX0SCeXvla23A2qhnr3dqYOfvR+1JUK1HFIvuyZ3iQ1KMzlocqXa6ISE/xVT4IK/Mg/LH2ShQMV
kW5aKlhRVQTHtnxBGFDOW7qqD0/d6jXAV60u/sCfJq4KoAE8xOt6vdYxfFhwcLi+18A+wjRAvQCv
LGlctTIFymLmzRnpsIUr+IzXGnZkgwO/eiBZFsxqm0N7v7d5fFzkPQyWpMsD9ZZDWQ6sYc9oBRRl
jisofZsGaqcWRlaAmGCnTcXX/eRp0EDCF1XiASoJz2eIeW4GpIFOIOGr8gZNVqogHpIKuPiybgu4
3c41rPJjgPQsj05C7qzV55KUK0lpBgh3Z6LKCffvKNBYM4yy5GU0wwha6FjtNkBdYE5TASQQ/0QL
gqEkh2AowfhLRBdYFW+bNWw0LF/dzcYWg/M9aLL0BphoopEm40lYoHsv3lXLEKJLC8k0sApL10v+
CfAW/CsK3QIaKCla15B3bQTgD+XlylLVGvJVyKxlY0L3CcZHVY8/06nm9TnnfTfnOxob56Pfgsbl
lG8hopGapa4G/jvKkhoLew2MZKj8e1T0ZVFkOZuJmi6CgNymv5OjhjmAjy5PgJo4tNUwNjKL4sVV
1wsdYmrSAaLDBMU+DGJBTikEkwMewMubUsbZCAf/H3tntmS1sa3rJ1KE+ubySJpzVk9BAQu4UUCB
JaW6VJNSpp5+f6Lw2QbvA7HvzwovE3Y1U03myDH+zlaEBnWDmdL5jzt5eZcj4hIeDwY0c9zW93LT
tutR/xLUBPxB939s3nruju/ov6P3hXCPfxc4tsV3mNIc31h4oBPdicn94DbqtpBs5ZJusXjYF+PI
k2CjHrsy6Y6v/Fiy9JRUIuR+x5deIPijnFroAbRBTJg67mTHj6qKym1IN7RLvGizF4l7vaHW44dK
az/gwBmeiD982rLletxt1rePYK59ALc8rrypYRo//figYEo40kaWivX0MrH1tdijJhW9VP5rtFjH
/TUvQONIOgKrwWrHA4Scp3Dy/bwru3FA7jGGynpSdSD5/mWDxVtvarc82jhodj4jWtvjstT3DWcN
DedIWgSoZ2hl3INmzPtNH2syKtAm1WlQzX3XnSrRshuRyx2cBDjwUfQa7M78Xn92LHFbuV4bxX8A
vn4Z6MFyqA+sYJfiFjr/gpWRUdGcNtJ9qoYh5KqjstTshm2gzI6Wf+ygdgV4qdIVCRPX/ofp7ufZ
7vj48OBq7CMEgc//ZbCdlB6sbY6Aql5KowAD5iqYA9hJv/+oXwB0dhP6GZvPArLi7+Ex1v+DvNzi
ZkSG7PR/rxG70cOQoSv1/VdRAmdFRQ6r46WqWvCG0d76vLIfxfH31/IzhBDYNusndrB4Itr3WOfu
z9dSrJ4LfCvKp+TQN3+qA+fox+cZafVpH2id//Sc//2BBBoAHBwyd8DF5Bdcsakm22k7u3gz6p6D
omw48a8j07DUfuzs39+g86tA2j6wWxuRqBu7DnTULx+oW+GX/dKGb35UjK3aD9DehJ4JgrP253g9
C1nsE9JLz4i8U/1Rz72J0mDNu8959Icr+nml88wZpfBaQI0mAebbX2kxk9jWhrxpfNO+bKqNvo49
rlVTUNdrVFW8gspHMOrmicfhQGthVceFCOmNas/Wkcn+HHTeENipprSYjFI/8u3sj8J5qI3HPJlt
L3yWfCmzv7+JX18jL863PTuAMcGTioT753XDuTsurrbWh2pujsq0f2+E5Bz06rWxYuWTV/A7Uvl/
+rzA5kUe/wvD8BdwNtJ0I25sq4cfx54uq1Gk9kBlHdJprsv/FbQW2ED+OGW4vyPuxP9XOfA2RJio
LsXDy7FEk3y8jahp2Rf9PB4Hxu9v8Kgv/40tgc+ilGKhHqIUmGL++ecHupld19MeNFdRb01NkEVd
F3mfwokN86ct+O+P4tXF0F6EizBk/lrqusLtjEJpdvXSiqxIiqk12h07/vj9Xf2QYvzjxsAK+agE
gcx3Yh4f0s83ZtvwMlFdzZdpd+1qPrmBPtQICluhGv6a9x4OHUlwCbaapF2xMy2mCxotp7vltEaC
U2ZDI0F+7lwf7MF+7ArcMcOVoTcIhodC142jTVa4UE4f53HsGIMm4fr9eOpahZw7swc7nLs8ngKg
tjtPO4MXPiYvfF4TMox4r5BxOaO+b8oKAXVOkxPWDpiIQKpxxaAR1ehNLSF5FT8alMjix6q0eWkr
6NBjDovwexl7GTWazaZ0b1XnUroZDY82YFtdi4Z2cGPmhN5VfAMtVqiiB29uj2bOeultJOQou92W
sYOktpmXztlT7Cvo9/JQRq1Q6d+Qx8ixWaU/GpnvHRTM2sbz3cf4OMSjcQVZYrZoQvck44GPRCt+
dAo2bEVdZq3uZuYp8PxWtO882t7EewjNkvjyWoS2dYAB8zqBs5qXOSzZzOyNedWoDtgVBCaCZUhF
tcRDkVlqKDe7S0cP9ZD7mIyJjLZTOYZ+ML4NTLLuw1v4hoPRogdEAfqAEhMS4W0tQZvLHBEScoJz
NY2OI7LOoen8yzB6zvFNEOrN/eQE2izxA7BZIV/3SSIa9yT62UJRLykceskwxcGln/rB8G4R4rn7
ZFLbAplYM1ozJ4gz45tiu2uSeZn3FDp6q5mmk3iCF60re774drtsX0K7a0yVFz4Nd592uGOmDz3I
i6XQJIcH5fajFo3w4WV4F3fUbXHuq/aQZv7oswC+jz7R9Mtx6LwsjfZ7N9hHbcPINiUoYlBlTnbY
OVSycoi4DCTc6JEbC+EoRXyIn2SfWO25qwO02lVZbk+BqQORm3orkMCv3lVtezu6f71egWQMb6Ip
dNHrBtVDVC+tDWa8Tm8LFvWVXwbDnLL7qi9iku2H0q6HHGVvwSzaesuFYRdIye2DWwxNn4aG7dhv
MrwLt1rmkV9VvF3bms4i0v5JDLV6tYt2sU905cspNrbXsmLD7rmS6sl1fHk7+VZ5263zcgpmIGi0
L+XVOqgkr5Itfh3JaoTXl/XXeh6LvK1kmRq/7/OgSMabeHe7syl6WOBeBj6/OjZ95os+Om/8yuuY
eezLpAd1QfdQfB2Tpr002mn31CQiOFfCHp6kDzaftkA0c2p5Q/lu03v8ubV6HBye6t5usVufbGwf
N/gJqzodLMu784HpzpiRyFcSUfEa8LBGr7R4yVcHqod5xpHOm9UVVX2WprdOztwtb+bVB3CgFOSz
0erGmyfTpEG3xVkRJUUVf6hXNzHXKBDU8+z6wjkNSi6MOXVXmXT1gvhbvAT4ZqzCmm66BDlC7juL
eK1Xr2FO6obbYF6cMSviavhsixlPFO7H2zl0jhVaBAeHWq7bjaadvbejZr0G/bZu6sar3Dym+n11
ts3r032PnYqxWVofNzlu30bL0plbO/vneRaDi6JAIh/c95mVW7WyTVFMTSqX+4bPJFTlWKa2I+sH
4+ASMYxU+HO81rsh46WVN3ihprMrlXsbtDieQHrfB5t5tlVRPPgO22ed1ZIDLdp1WmrcM3lgBu/k
R0v/ICt/+mikpiezobdLHBcNGogmi+oykKmlPP8zzPSQem7bXwaAgtS1u+W1dvrm9VyZBbPpspTv
xsqMHyYtOyxvWumscCYpUsH1wbjGYG5sPH1IrnW8PSbuXLVZv6/is+jknkLydO8JcBpTKVfnNea3
+Fq6U5ypyS5u/Lr3P89xqO8EeP8K7YDcHtBnSQtlIZUvVXkXxtZQp63TJJ8ni6Ymj+nPRBqIeXwM
t7A5U+jDMEvqPbpanKF6RKeDtmOrpncuHpDLqrRzEXINP09e8W5jTn63j90eX0bpm1SMXfnN8EAu
1RIpdaINNE/LlARI/f0RxrYpl9Su1vU6TBp5GelDnbSM5uRd0i/JFw/jw1sxFcMXpOv7N8UCz9do
cBFFCw+bQejmo8bzRX9ppcHWr3fWNDefdnvoL17rFCizgJMfKmP7nGWaimSLOgYPCprwKoKYyeTc
i0sTqOkd2i6P61/dG8fusciE3vwRXG58TPpqunJMmzx13bTflrMYTzqi5DIG42bsfXu5mZS/PfbI
z99Ocew/e81KcXBHsz74pmPzgGm9crxF3eop2lDSa28At4n7SxF2fs54jMIS2CO53q2puCuKanq9
u3H1LgY6+Tju8fKWA7+8YrNF90jeFzRMYX1ukyK4g+F2vGzpkjaPd/x1rPepP++lNTw2QPCPpcbr
nKEMsc/TJsaPclE+/o1g3++mxFe3CJUa0IFueFt6e9JRs3G1eVETXzlwftkqd/9VvJYeyPxkfbUK
5O72nQn8vU4y02l63TxSQNrxXRN4a7ScbNIp2yVtE1ncYagtH0FZ2gfLN/37dpk+8zMlQG/tvJ87
OhihIvGgE4H8MpBOfZMM0v2krEJtWVtt9j1SH/Wudtd1vFRu6/lZUjnRrV8MU3xO7K7HJVzFMofH
9fd0he/Ga4QRNBX7kqxp5xX9w2DB998aa4x41qG9LdPdmKwQPY6eHMwp/ti98rRvvY76pJZZqPHI
nqpETm9EWa/dCcrXVLdd3Qx1bk19gAixKBzrEq3zvL8xcT+p6nK0HnaejJpIiYanNmxlc9Mwk09t
5kR0LlnQqWK9By0Rc+Ypp3y7RftgsgHR/h1yvcLJN4cW8XZhEF/eBzXT30QdmeQShDROZY+s6Gpd
wugmQOnfi7e7Zwp3TQ2GzkTduBQ7+zr2YQQu42HJy6t1DtRTYpWNQIFTtsmUTrjP2iaz/EQ/1Xgm
wtSt/Pb1YBxrv2wMmuIwsbj23ZYI3WfuBI5/H7WU0xyB3J4PIFs3wl3qjMyZ5maxjJ7Fq9ZYYbJ7
PP7e1l0OTtM1h0pLukH3all8ES+YC0TY4m1S88B+iKE3M+UYtzv5jmqru6aCnU27Hpg32xc9Yvnp
DMRPpERz1dd+MJxKiML7pgYmzYWu9ZVXEnyXkyZQRUBiYnKum3KS0JEqiEzqbrDf4eIuD1aQ6Cjr
ROHPGGsaDygOzO69I63p65rQmuAkNu5lGAoH7yrOGuVmtHCVNWRw80jRNjxn4Rtj+UNEY6ZiHI8Z
lXThGwbbqnX9TBEa4/CET0SmAfYUnZyaDuM3lj5XD0Fw71hrqN5B5nbFlRhj/3O5rp/2vSrflZX8
VCYyENgdt+5pQ9txKuJiutgcHjZFIpygv6L9tjVu+zB5tTqv1ZRkcpS7TCNkmjLtuqB7mvo2zKcp
NKmKa5/6ui7d81IW+zkaDltLqYt7GMbYzhw9b2O+c9j4j8lceU8RAqIpr1ewHtYDCyZFD7d9dQbZ
vJZjP8enOYrKu3nohyc1zkt5Urpci2tQ4zJKrU4n190gxhzXSntuxiJ46vH7nJKlGm6bIrDu3Ub7
t66EtBzKGfI6YSzKXbdYP/cqUpddu26b2hGHcG4n6zifpBMOD+gHt+VaTluRJvNm62xsSpH54bzK
NHEwVGUDgkh1jdGm1CcDyP20F0R/FvDe40XArxE2MNlYtEwzPXDKc/jXYdPmtaC/4BKKN5w69VlF
SZipXlbvRV06n0DeMJY1TnIZ7KQ7RzISj5awp2ztwuqDjfUcgyWAKoPbOXIL8XHY3GVIA28YPnp2
Md0o1yt0WkxaxFkNOHpTSJebLm0Q7lqvGcOu90owltysm1M/N5UXfWqK0vnQON52t8Lc5oEch2sP
yPg94LvbHDVNy9QT9ngfFoVH30pxPBah/+w3xzBs+u44tbU7fxnW2KpPbVhDhAImD+F1H/T1kM1T
rRe4pn0ALIw24WReSx1JQ6sWwX0rZ/cLhvClSd2Wa0hFS8hD1vB7M+Av1kRlZHDdhcqN8qVCyDnR
a+G06uSw/EcytVVZIz3P/sTBu01pYsXbemUtTZgvUlhX9Ri47w7dwNnZ10altbHkqyDQ4otaY8nx
wOR5HlSBGmooAu8O6m66lQZRSTqVtDR3elbyS+Pi58xmYEbM22urn5fFsFfYlMxpSoJifl1hrdYU
Rm499WL1bgCpSyRTtd5p5pGNfvORkBbnLqqWW98wv6UW7ciSt8VoBSdr7ND82vsavF/mtv0YyVVn
zezNeWtbo/2gtsh5gl2LE1RB9HBpuGxVe9loqm6ofv120mNVCVq5hNYTFYc1PHjV5liZKg4lnuns
QJ4mueIwQJHCIsr8qquE36zncg2hUjryDRqaNNxejLFrhuWtdumpvb7YP/Sz6ptX7uBsc85UUTSU
tCQcdplNjipbc8EdKnr/Vag8sjcaZ6y9zy2yUavPVivWojhDmDXavm+qIRySjGlb+zJVmKxnlUUc
uIHJK/iruMVAzClv8n41RdfcmhgjpZ3NigFMPrYr6JCXamTeiTpPSo71h7Js/KHMN7YKNApuHK+f
0lWPQ7icS3q1/lpVChPkPM56DU4V+qeuPwUjXNsTBjW4l4tEKLX0+WR8yxaPQsmG9+BbyKWUQMkM
B4DFdOL2v3VWEtk8x1n0Jk9kpYMPASxT9fQC1lryIBxIjzigUdcptLwlMOGg7tELHDwI+3CPvpZ+
Yevwgq56Z7+NzpzUH5XcKqvChAvQZTHZFmILOSIox8t7VQEoxHcLDaV+sEViGz9T5azG5rLDbvG2
OPLEIL54serXLg/aRZn+1lPcHp68AZXFnCF6wXv6hBFT1uEpRKiK59pWajQDOiQSFfidnl+OZylj
QT22liFvUCHdu4i5aN1lQsU0SU0TFfuXeok6YyQo7AqSWmdIqlS7+aey137dnuSG4gY/4NQP8d1O
6xefCqsNC1iwtUikSh1/TPxTZHbPv8D7de9lrNp3FuqaJXUHzGepr9g7J9Qm3Ve7b+iyUL9XU3Ma
QuJZ8nVCp4JL3x0hH/dQme8qeyz+5foYoI69Ageu7wa78LLGDdW9cIzBwuh1iLXWBCJYWlhGE71F
1yMtXJR6vTR+qvut6S/TYqNi1LHcesw5a/NV7nbRUFp9DJUh56jKF283b3Dcb5oGwWpPdKBMiIWQ
QXCZQn/p8qKL9RfSKLSRqVNuo/MmbuomyAmR758nGwI7ncXKaNDv1so0MgmnOtFOTPOVwjC8fi0t
fSAudNRun+1NVZ7xaa2FdcbeHSPOcUc85wV21uHkY/28cuYh+tiure/M5Cy45ZABKNYBE2pk5ocu
Dm1ieuxALR+QPiCbSCeJyi5D0zGuNEiOi64IcOuhZPLuUn+kD7/XEG463bwmOmGcb2+sch6QsqsA
cwXaOtkh3XCNmvO4DxIoKWupLvgWeDGRLq3UQ1t3Ncp2FJkCMPuyI1hgbRTJa2VhVFbVLs+hI/Wj
4WXnhCHEyUmgrfhmIV4CPBSyvLMow/Mnhsuteh2Jbjq6Ls+tr+hgwpvJj4L6CyXSMxdv9cWbYfOK
e2SS5ddycnjy8bZr5GqFAhnZ91qnsra3d7EO1OM2tRW3gI0NdjjqBqrpESGhmyB54wAfRnkihu3a
AbSo8w1tzH82z8dHGDSzf9X7QiBPnIKnsSiH8+L29odwmp00idAhVlO7o9Cfd5NiOTIPeCrdOnfV
vGLqansE8km9Jut1SfwMZb7fkYOWxaa53KQ9pBFMw5nsI+OeYYjgWW0PY2Fert5K6bXwO9TpIiPk
hV45jzQF2KXvPSXVXUnwS5zbQSmjM0II+XbT0YLqeOm5S9QA0Sd/qsih6GjAiU05Ot459uM+pacm
MClsigQ5SjPWVc6BLlBeAZc87h0IQLqHUoanZkVgl3t2V5/2UfMzZYCcDtlIJ/PVk39tc9Wf3GLW
2bYE5mNEtVhv9dJPMifwIn4zB9Oi+LggGBkIalCgzh3uvbZwb+OqbSJkQgURK5NTJLeWVblfiJ9o
brQl50e0eiJDA+Z+xhWjeniGKDFZHcxiyqLNr02uNiPmtJ3ipTipqo5b6u/ktbfCcU1wXsIteG8R
haIfQK4aDzBg6EzaEhPwkQCH0hD74EwPAwoT+xRhomYoSFxcDWNhB0dMgajeNoGetoxzk66O/jyv
vGmMj+cWvtq8DRjac4fiIW4778OIyqJMV9V+9OZu+DAtRA0R5Av2iKISoRRefj9pp4+ltdklvZW2
MovO435S2HtmcJdPfams60mwqfOpbqJXi1qGmyUY8XpMUXMHLhBdWYUdvwcxriOWQRl+kS5ZONq3
5zfrZAiXmYfFzcQab0e3ZndIZ3ognmie46vZq/ow3xPiL9KuTvSlD9y1fYNbts4nwK18Yqn72egF
6kT74tySZ1GhDdycD1Vh9IekWJxUzsrGOhk0py5ui7+QFdu5H/jLu5h2/+L4hfOF1ILmg82PkLSh
eXBI/j/guYnvNST/Ra4Luy5WnxEoL49S2YZMi2WwHfbB/piU+OpZDX534Twgk0HFs5fHEeIUfvpu
G93pPwKwI481g8pINNue6soZ3ltx6z+JyiO5xwfVv5ayd6DCUFo2nvdsFOj/dGokeND0hQOq6dYc
DhwX0wcm2qGTbyZ/Hvzg1SKqkSo/x/GhTZpG/M+IBLQR3QjXAOE4vPINUhpz2Vy8Gm7uDbZeqmtb
VZ3YrxFym+VdUesteA56f2iuxBB3i58V/mQvVh6vAVk+FK8GNQucFvoIkTh1aOcI75ydtjG2TZ1N
TTjZ+loZDYqZhq4Ozr7fb/GnsO8Xisoom1a31LGgsoOcPg+dQm6ZsCwRtPhorJAj08ajqjJ4odk0
yNh98mbWSg7f7NEy0ZxDaCLUO81yM00FY1mXDWohWRaHiJw1SHzBpSSlxR5fr168MMLUng6n6f1A
yMgqcojYmLkPy1CtxYMQw6yGfN7Iw3NOtvTUPH5Rzb46JuW3yNpkG1FVnIC7rKgMVwU2SUHci2WO
O/HD0k7aS0UAUzT+R1nl7gZpXcQNX0MLH4X61lpmBuZbYeaiDTNtJ3G0nv9Az/1sEIH8w0Cd4JU9
EtGTEOHDz+RcbzNzCC2TZ1vgIvnBerthE0A/TV5Xovbc4pXEKbvzJ5dso6nFiJS28ChztniEsrwT
34mu31/Xz2wvl0VmXIhdlTB3yEO4op8vqw4M1iTCbL42gzyIlu5F+NE1SctCtAbosj8QlT9z8scn
YuPmaRzeYSjfI2Lgn5oMQMN4sfFLfOtePnF9UdV4QT9Bzc9R5StEcKutLSwftYCsfHkV/z/N4X9K
2v1HLiaSDLj8/ysF+Fecw/9pP2Mr+mf+w8tP/J2J6SYkObjY5VCkoKk5lsp/BzngKnEw5wcuGsUQ
Gc4/ghwwRCEnoD3xAudwfEIkH5GYwZHxYLMlMM9Dnbie/7/Kcvh5f71kOTjYk3CYcp+AaD8vK3as
6Tqo7m+VvUvxV9vthWfn20ZMAKDBIlzzXqCJXc6z8VpOxRlNyrMuWolyewiG0T1L6+jKUQyh38Io
W9g0jnHbVPrdZHeYY7PJl+EeUjsAj6yMFgqqDwxCMXsAySiSi4hKlLTjpS2t7V21KIZgKOQSu6bP
wMPYtis7iC/eXAInpBrcgi3XbtqKi3O/wjLVmZmrAtvoP17k44sG4J8hDr9Ic7A3ooQ5AkP5f3Dk
6/3ydAZ4K+jfPfiGyHhNWkxUES0SbYvnNfdJyVEOFerUfffXGE61eYsV6nDkumDm3A8hGaV+9/tL
+p6x+d9qBS4pihKH6FzSVUMPkc4vlxQJV+MjmsqvTmuj/5Q+p8TNjqKew6GywhpUv0PN4AgSdJjp
6OG1bMDFbYm7C7j8cMpFKrDETWuvs12d9qLcVb63mldxWpa92t9jEUJtj9y2IVlj3xuHb+sSfw5G
8OgZ3OwPte1nvQeaGR5yQNRvbONvD9kLPy/CompI62ra/pu9cWQ+AVtZw5uuLYb98fdP7xdhGx/k
EZDCkRJQQ2M+7+cPMm03Jnuoi694yAiMOsm2aHy01zY7XHuR8F9t83DkZJgwaHHGScRm6xskPBju
fn8lPx8gxy17hD94B5t/pDb+KnFxvNKQcifCr+scT+FDII2gi5gIRoy8m5IYseBPsRP/esikX8aU
Ei/iHOEp/HLvllNaIMKR99yqccKNMxryM3Faxfth8Pj93R2L8B+LlLujcPnY8FnwsfcvH5pb920j
68D9qp1yrv1vrgFVrK4LqVh35TAej7g1ocLE+vsP/vdNsobC4y8X+ca/tDw4YhChiGZ+phtR8Z6K
6EhRKlyr5un+/qN+CQY9XiEGT5c0Y7JNKd72Lw9UYOZqEMx0X+fWD7roisTI/l0LSTIiUccpVMpX
OtkLu7sb6qk/rBNrhXFdzJHEKdi1FMQCYrLoktdCoH70s2rt3fauWcspNldq8zFWX/3+ov/1YgK0
lGSfwEY6Nmm3v1QPJyEJD4t4/9ybZeIqMNM0ONNJC8aYNXTh4IGbkNT7J6Ov8+8XQ0ZAiKIL/Sym
2F/LVmE5tpZTYH1BLOi4ZMCBGyhwkliit8wcrwW8v2KbNNFnCH3Iy5zxgHjMDMueu76t8XMwe2Ac
3RcyhByRnL0+xP0cdMaf4/wPTyn+dXseWRfB922S4Ilwfn23QbnJqVPT8KWKsRCE8PJm2R9nOEIW
1W7s0qyXZJbYQLF91eymuWccsIDMjaFYJo1fmmcWYCf+Cglw4TfUhX+YRFaHJNi/Xgowuh2qS6CR
un2Yy4RpDq4hQh2QrvznC3k7RwQOx3DvOStvpOqKo0RbM6k0JndJvYxfM0sv+uNujhYC8HkveBau
EAfkbO/14eJw/TFgf48VUPijDH3RfQs35dROivZ83h/Z/knwoa97luaEF5trdKRIeiBCMKkPjK9S
9CcVahIc9sWL1rfrdBiZZ8G/wfkD2M4jqapw4J25lQZ3h34lEtcQJywPCRrC/CP3YLCFAEMzjLwI
W+YNgQGCNKc+1Ec1Gu4uvASrrpbXC2AQh5kZ9WFOnpEW44cWZcJH/+1e8PClEgxVGhk+eHA548cx
rgEdC38d6/vW72OmQWfW/W3FaKVuFKQXa0lDsPHo6rXGDx6v5BgQIFEQxUQ6CTg3u03G48KwNfi9
xJPx4wYCsXyPLImYUERu28XhvwvsnuU36/IoYj/MMQTRHXkjdSTJP83mw9j39+8Y5WhNJ69GAkPk
nYvjRadetQc8A+XVhw9Zy4riaLyBeyIu4niqftNsPLkglopv2Lalam76dlJYXZ0KkW538qyIrs3I
4hDZSRON3B6F/lguQ7JwanmYUVg0oghF96ZfgiECl/K8Y7lAPrrsqRWRGqumxOvDO/O0zS9k6HGK
6EzQZRN7N5ava/M8EuvHMxz0Kvh8QhlI/3qKW7SwIt8jFbfbdRH262Fz2fmPJcW5cLTH10xIt8hN
iESGeN1wp/UYItE7cMWRu1IFTtPufc9icYtj/U7e6HNrZeyNqAAT4D9+y2CGw7SmyLXin6xyiTi7
oAQWLslw9/zLTYnjWvwEzCHMQqhL82ziEe167mH58a/WMD6isERXx0ffVqx2Uz/Mx5D3oVY+/5Al
njnQBeEnxzMeIbbFX0pvRxbBHkfHmmtpAf0rsWjcvdAb4bFEj9Z6fSvjnr+PTtyygSOxUBtoHXe6
DMw/7HPiFfejeBwZmJ/F6B2O/grfMb90QuDLmwhm+kaQQOl469uobtBinqqBOA9ztWp7Ft39AS7z
C8dpJnY22+nFjlXt1aRS54TJ76Tt6LgFIcuF/ZZ0tTpZc4d4/aMyVW1FpDCCyXMAESvJbG9M6duQ
ejuxlCUhWPtjYCD23Syeiav3T0m3ISigUYBMfAiDYG2mtLKXdrSzECFO/Qo3c10A9wl1vOG+JgrI
AX6I5tW6rme7rQ20zbgMc6bbebY2WOE54hoLa+bdjH5cD8HnfsYTibgJnKYcnpJuLHy0G/OQ6DgL
yYzd2hOFmHJzWrxSANyVUg1J8rerh4ifpboqPKEQ3aZxQ5kNn/ctsLCSUGwN94ymodlrzO6Vrqry
rhkq5UQPi07mY/HU6ElZictmyJ/AMn6sS5t4GNZQQRZtU94O+7DztdFdFbatPcDt934ee55S3jW8
jz7VtuWo8QGsxaXkin5UvKWetGjOggELHr8rGe2jCioePivXrrH+rWd7kRvfyQgz8rVlKo661Nhr
p18nizg6Qsb6kvIkfR3y/JYKhuth5SmyFxx3mVlQ6zh5Zrjm7R/BJzEaB/8qbuedCycxA9N+5uPU
5foplxxHq5ERpzwolmTnxX57HLLLoo5wDx0G9UBINBnb1AcTV5b/StsGjzW8bRf4V5JoVW4pHqZh
QlHvHi0WXoHGPHfxyDTyYw6h6h8PB9uAN5DhA1UxErlXic2zrgme2NG38J97KPOx2Pri5KO7G59+
hHQMHP7mtJot4oojsVk8pYEsAja2UIA6xEnV6niCP5Z1V2/H14wP5OKSqKePxpmAk6Pcz0CQ+3vH
YlV6SJtwNW0pnWhpsz+tsmbn+nGBLyMlSSCSD25N2c3nBNDNSqPdMfja+q2dnuxOt29/CkwIe7k2
JL2vSj7/OzUBfVw9fqqpufv5/xWYAOjb2inM1TLcSi/YZJ/+OTyh5VhFJbKsTjbyjv4QnvBf7J3J
ctxItm1/5dmbIw19M3gTRB/sgxQlcgKjRAk94Ogd+Pq7nNR9JVIqyuqObw2yTJkUEQE43E+zz9q2
NxcmY92tNvcPbxAKGdxPCea4MOcIKsG/JykEDEvq7TYyl6k+e+UpuH1+MemIK7e/MhXizEQ8lXpu
7x27meJu+AeyAo00TwmNPBNF6Qd8BWbjjKoPwaQv6SqJoFpcv7IWqGC2Wb3ThTeLZvM7csHW7G65
7ytWdfgGvFAgnwJ1T9spXmSoj55w18H/hMKQORYs/cETtReqceVe3/0HLIbazwezXhsOY+K0gC3w
tfFla/Jlsuuf0bc+FzCGTlNc1oigpzpVB6oorVI4n6bZEcJei2hqaeTWuh4To7wysUC9TrwwTAWq
WJMBjYwIqoVBpI6VgI2El7vxVfjYcoDzOiToadgaSkdXEWaqzZERbbMZ9n+hvpiY/LOliRVwx0ma
kaPHoZrOKdNXTmwuu9nz+J3bwaFJtYTIGFXm4GXGwqedX9FdQ1Om7hen6pjG36G68vJgx6wytQYB
DJpt0uk6InsfmLQwd7bpEAVPOrEbgHPADOxlmQ/MczqLtAmI5prmk6NvkKi4i7VnfBfm1r4yybO1
QzmUOl+UuARWuZIht2pDLAuTM3pi+orQZJqDnhtET0+dnHACJJ+0BbzOtQdv8Wrm6G1HgeHoPkl+
mQLJsM10UP34/B2MA3aU3PYU5c3MjIBPVEWiM9qnoGUKJN29Qs5MmCbu14npy3rrmplXnWNrMnIs
9kKoWKoSngpZkqBXeDMsJd3e+DFo3ZwHaxSdNKtCzkPqBqEnIsm9DfTW4fazh6sBjfql3MOwiDql
fp5gtlFzH3MEhexobjCpT29YkUL0idjOgno3p+i0fhSDxo1lm8nUJxgAdLB8/vtOLA3UknAQ1kJE
6lUJv7Eue6VSzY1qVrIQjeHGdJXqxAEnp5SR86WgvZYzfKEeIwemYdyT/g39nd9Ekm9sZZUCGtF0
9WjqVXE+Tsn1gk4kCh7GHAx+vqeFHJfTwSYcHe8WBoL4VsYiVPGpbYcxTQ5Cr1RQofeZYg1O5qwS
eR/ll/ulpF5nyFU6ITzp11i2EKXEjIxwXI61aFtnr4u4G/3rpU/MOj13I9S77X5ebPUeWGg7+Kpj
TpB5V3S2ekUYzVEFL3it/EA00ix6yoyC1DhtDLXArAgEh7lrTA9p6JrpT3W6omKOOTTpmhOorixL
EAWC9VfxZu+q9QhjMyOy1rkD2Y9o8Sr+wL9XP01UQottKsBm+2sj4XNRvE88FRrmqNhVMG8J9Wlf
X4+8pz94VwxTzUNtO6aHS6aFrDF+pL0YpxigoM70eKsb1kKxSmdigmyLakqt3aIyg+qinIx47GHi
dj4Mf34BGup1MTGLkq4GbSy5VrUgs7rTX2i+WYcvSrYOxpqUL/aCtH0aW0bVy7DLmQxgc5nBxp7b
k9HnFepik3VWQvbjziLFIGPT0bbyQDo7ILwk8eQ5oy9aQANOJvkTUyozFCuJhiV/GhNDclOi18in
i/WRWKOr/ZZvm0oYAPPmZ0bsL1VAYCDjWCf7qmImO9BRkbOgntIYFfim4HDLNRhwHfOYRCSkI8gn
mX7e+y6dsDt3KSxQJNpkcP+1JFBJN8ZHKgprpaGSfLo6KpCPRc36iLoo5qn1JQVdZlF8DVuEtB2d
ihiFIQh4TgQh7AGL0ZDzHhpPVFOn8geWk4vfC7+ojRa1VQr2ZHcvPIcW5QYFDUt/z6RfQqoC5mH+
9vrqVSPIBUZCtDJgdAnMDLyZdT8yosLCYNiFjwn4/YWQj0/TVF3ptpQVqPd4URm3A0qWGzmhROUV
X6wpFheum9sEr/OUxTs4cnK4caW3MKCCkL/Y+51JTsHBptkgliyJSsjbumDb+TWB3bfsVVlTqUjU
rEx28dX0mjXKHIh/cmiyEceDCwL+wUUrNrE7b2ivqyzwNbEookV96BpwwowVR4M5lAh7fyHjtZE5
sNBJknRW/5RUFY80NQb10TFV4CTcyGSI+n6jycqGeCAojvCDy8yKgqyiNqyex6jhmwV4I31RNnYL
nYHEAtll1VJl6PPrzhHgFcA9LI1crcqPq0Z/qBn51AQDi4aOh0/9u3qgL1UbNiimrzLqVZ45Jhpu
NmsU8E0Bk2Ro+b5/ueT7qhplKtrejq3KeUwxvud9zcx9+ZCc+q8OyAd2+NelUfiaqux+/O1+vxQT
p0DBLF8R7az3pD5QbWIZqU58RWSs9qfata2RoJDNmr3r42u9VAN/rR/DLqNMbTmwJkFR/daVQreP
3w06ga/SKgcSGVr5JivR6e2E1xCuvsJMLGjo8qehsh2MBwba436xEr1J3k0VQnU2AlJetfe87sw/
ex8VyisVInlOx5nguc3Enz7++L/dKqB3OsgwQ7dIx833CDrZRmUfowR4YtoBeOSGA0qlhRyupFAf
X+q3NWdRGMbjkmF16qr++9lVwqgUeqArnoLEt4Z5H81ohu4hwqpXxI3i6a9L7n0LxeDB4JSGvR/d
BHCW7zrfLYQZP6Z+/wQESu1RCHOpIg6wgTggzECdWVEASY1gYubP32F56e0Vu13pHD7+7u9vM11T
SAgUaWmTOsZv7Mip6iWi39h6pCZB3jwnsFy++ZWn0vmPr/T+LpuOpfNtLagIHh2k98XrnMAQemVm
PA5MCucXvShUap5mtsUhn5gqavz4gm+b/TRNmF6n7EyTF4gkQZP66r8AGPrMX9hM5vaxRRTFCmLG
Sm1zbIoKdhu1DXwmpEzxnAQrL3cSTsaPP8CLnODXN5BQS2F9ATDhis5XN99+AkB7SWEIr3psEkhS
1YZe1pJvqHokQYboVYUtY5uo0Ni1bbV//yyKa06vSl6lC+4oOUyvN+cnD5rS/8xbXMM1JFtYXomJ
AHtqH/2i1aMcD1MjZ+Zbab/UYTnOQz3WMOV0XnyEXfTQs3XvDRSPDEiNU0r4RoluA5YjNftDSmsZ
X7CaqVQu042dCrs0VCFkMcp8hWcGdovYBmCIOuKFaFGhrrzXAn1HaM+uyVyrCpqYXXmJ+ExDBctR
huiKqk0HhojyWJzB3D6aIxRLiixVTln249v/24JTU8S6Mn8ITOv3pT2QWSSavswPNRQqYtYYqCQJ
R7D0KgL4WbL++JLqvX3zwNlqkULTo0EOhHzrXWeIRtms9O3TA5PCqsY4pIGbXzioX3LtUu9esJZ2
EQwkUdKAOUQRtijVp/n4Y7z/5ujHbZ2dE7ow//Bf2t+/rPzKbaqJZ5k85DXlz2Natn35ycwnJgHM
rv8L5+T9DqL4Fp5Fpci10FjazrtFjuAmThPRdY+jIv3cO5mnlkWWCRVZffy9sNh4c3/57TAoGC+F
oc65gJzp7QsVT7i0FNVofqq6XsdMbzBc+K4xZVQy3TSbOB1CGt4l/+dRsGFdSscK7knWnNYPBWVd
SjCkPKp/L5hlJQ41FlsF6mlMhgLLn7ciwUdRlbUk2DRlNOfWvISj76oycV7SHbkbNcPiy2kIqHDj
ijXVKTLGUu3XJAS5bA5oPtO52Fa1HtuvhjA4sMTf6z/oKd7db+4BSBUL3BMdSCgS7++BAzQhYJJE
fhpKEIUIumtaFTnuXzV1uo/vt/VuPatnyublIrhA38Y++m49T7WgpmrY0Z1v1y/XGhxKp/nYqFB/
YKtnC3rtvReIdLgLlaxUlfTnn9pxUBUClKHcXMf2VD2TXFBxgk2MdagoaDnom+W841VlTi8VZT7t
ZkR2vDu4GJAep2BcSEt+Nv7oFqkmklZkJu/O4usL/22sS/XAFyfjKtpLd9x7LU2MBhVQqIpKTkj7
8RWz541s/PW6b1NVWP7ZQuONZO1m9Dw496KIKocVzkY5UQL5+Jb6bx+f0rzRyddh1EAggqzy/vE1
fIPR17FcYQzE+wJ5x0EeTXt07+a+sKnxJ0x82DJgaATA1VrYUbUvzby4H+EaInFnOIKmaWwxJDT7
8HfB1X2KyF+760J2Y7JK/NHcp0F2U1ae/m0UdidCcI/JvKKX416NTlSfJXraXXAiJQvZejLma63L
rM8LfeTxGDHoCsW2CHR7TdUwv9cWrSc5KCRDU2D9r21OpXxrF5p14c3tyITS3GzoiRf3CT38Y1GY
dAky0YNWrfOJFl5vFI+oJpyzGTV9yrxMo+O5J1rvzuR8fhJJbTiMJbgJJYy463YM4VR3k2cN96ll
IeH0dc2ukIE64iEfgu650ARjfXbXERZFwz6TAzgGmhRihaGxK/GuC1ItBKg+HoHnbfqJeVXsy7Ls
8wAciqp5NOTrfmrruwWZ/prwU42saJq90l39xu5n/Su0pO7R8Bb7UzI4wyqBJ32WexhfIc9Ozz5e
EW83axYEbWU2M4dQQYFa3stpaso/XuPE1TPPSzKkDkh54xZ1n/HYdPfTxxd7+0K/XsxDKKeOeWK4
9xFJtNiEdm1QPbu6V6IRkvqdUQkTm7IyvxhtayD/i+vyhhYhhs4fX/u3lf/yNdHq0LJhE38vmxic
Lqhzuy2fm0o5lFmFwC2ltBhG/Msx8fKb/nUMv3xL2zTR5ygf198tWTDSy0107QkchJp3xjI5LsKa
hCddy6TwTpVZRqe0izQBpNMJxNqCqlvsUIO6a4k1ZhYi1nOvWrcNjhWjz584bzvipKHo78uS4AV7
vVKEZm/YN/qYVT/KwfLPK8qzN6M5m5+DjDw1xH5GF+AK4yurxF461LzSpXqT04szpoDCWhvMz1kd
96sM0tPWiB39CdG1hTlpYP0lFnonwuOWqDCAMIj7gu2I+T4kMDSvk7Y/L8/2oG4+Y1PJzqqzYi8X
+cT0DPJ+UOjrwYyh+zWt5u6x1nb+xiRy1AH95sl4SqyJm7VpIBwDtP32ADfyqKR9kDA9NoBvppzW
5qjmHS9Yd3RJgNDie7f3yl4y5KiJEjx2Xe5r6lYXIxOwjJ14sXa1GLG9Z3SJwlkbBY8lY2+M8uTa
RTpX3vnMFA0GhdYdNdDiClAy8/QujbF5tYCTv8AEuYtWngi8E2HjWG8Zufgxu1l6aXki3eVUivdp
XIur0umLfl1H3cDwRjJ80h0zv9EqBXhxpTFtLbOfGF3B0O1uKoIkWyWNzhdIJEghsLO0ALysycBR
cybe2o7mn6fJbH82FFMQtjkjGH9Z9urevb+3iLxJ912yWc9U798vUd9ASZjn7sFHYeT7kmmi7B63
u3le502lXxoTucRfrvjOU4VV5ZFmobpFjwRCC7na20syrF60JUfn90xk9pGymVaCx5i1MwqV2ZZG
RM9O78Tts7D04j6NZX+eYiZ4A/HG2n68u7ywwd5+faXt9tGsmd6f0H5T6eBRUVXfY0mDgby9jh7r
dmGQGaqnA80Gc59wKGsIOJiBJvM6S1xnnyCHXVMnCYIVDc8yWbe1630BpjOq0i8l9ErrkovcTbt9
Y1ny0h2S+BA7XmyHNXbo8Fdnw2R2SejlwIAH/t9Qcx2x07gtW2VqcYGz2MgPTJ6Gu24yX89y4jjL
oLhs44nTe1UbaX5e0uYlorTKMcZStwD0Mk4ZPVwo8ffA0ecNsUh325uyOiRlgStw68GSZSXSLlrh
+tRdW0Fa0XJFUSfBwdNX6t2iiFfM04mLSQRdB01KuOhqfWZAD4hTGNiAkmx+hjyUfmE+tP9hpyZz
z92YMSf48dP5ff9hpQSI5pCuYb3xW13PMmHKw/PPv4Mo1D0sKYPsKyqPGXY7j4ycynteukGNxWtf
5zFjZnF2R1H+7WO8VWq/LFgYnYTNFspVm9rA2wWLUqoru8Urvkeli2veywPB7jwpztOCUVt9AcUE
5nbYzi5GvQL76ocEfwvBOlmMu7/ckz+8sJhAUVtm60Br+V6xu5TDNNZMtHyPPd29bVyjO5mFpq09
CrtnnIvD5VA0/VHYVXkopGVc9JXHQeYVvbxOGTBHkFxBcE7B5fxAOd84od+k+e1fPuVvIQMzE8jn
ecXRTJNUvrtlI/5hZdDYw3eq3k38icjC6VZUEmEldPp4aboYc4RTt4Dh8lun/pEsIInCJTLFtLO8
urt3giI+170p/2TiUU6HhFNg22Ztwe2OM1zdG9D7rw/6f+cs7mbx/f/936fnMq3WaUeS8q3/dWqC
E95lzf/7QYvL79P/eQAi84e/9HPWAv9LFM4UwimHM/9OFeO/Zy2wPv7HY6FC0iKcILf9ZdjCdv5R
MmzyGZeaMy+x+f+HLWz9H2TpqghHwVsNejr/ybDF23CZKj2KfUqV5KXYZRGvvysBGKPb0I+KazJy
jdwyr2LnymoncYltxd9K6G9f0NdrURPWuRdsFpAi3+4WKPuZbfeN6uAxFHlJ5d64zAbqCTN34Lxp
lr8Jr9++ai/Xw2uFE5wZJdUkePfdWg2zUOHrXI/eCi6KOuZ9YSYXA52VbR0wUXPR4EjfwH4jNf+y
Hb2trbxcHLEuXps+T0+VTd9+2UbTO8lMRHVY2r5/LqlLuaCtRv98NhZ5ktESYAet/+0r/+EWO9wt
lVirtfa++UIpLmsn3ysPROfyOif7fWYQDXNhuqTyOtbn//iC7GawPllE1E4sCvBvv2amGIEm+vZ9
opEJk/L66znpA+Y+Le0RXaX78Mvr9YdyjfHbfUUDzdAA1eiAm2u+FAR+CcvmzmCbixSxr5ZNHg5u
xLDOQhI8MijN1r5ibNxg1rayDwByjVNDR/S+EhAVV4mbL5VCenmnfjZNAgyo6qDIRNKdGzKQX2bT
/8sqoDTNDfhXHMU6UH0Ak3cfYV3Ay26/vUFViYdbVvbDnqpfbN9ppelEZ11c6BgV1A1qvSY2piM0
M0RgYad81XkH55PGEPCeiorrHtMOR68S4slTbHWtGyauMgjFR5DaG0i6S/CLZXIcCR6hfSuj8xIx
fQmhxlkMMpAuziA3pZARZ3Pxt8KRxiWTwih/B09H6AU36WT0rryOGBYowqUda+erP1pixtdikSNO
8A125K3lyGuXXcJdA9vNg32mj9rnrEgCqMQttIZDG6EgrZginrW4Dk2YpMZ3VqnEqtpI00xe9HYw
2jeymqdzFHsF4CYnQ30e2DYe9GojaOeS91SOnbzWJk7lIG/gx8moEQ9DZoqHpdWtAwckUZ4cR/Hg
l9Z4rXcddo1Bo2Q+EhDGhsKU8wQZTJ7qtsDevhwj8WAlvTxpjWbcOf3gr9MldZ5wNTSrQzUH8sFl
IHpYuchWOu6sI0+DTdKGftXGj6HouCAY0ejeBIfSrgd/cp4KetSX/jJy31rbuBsCHhrW28H9BI3/
ycWN/pTGXbABt+ZY27lOe38VSPziCQgjeXpdq0kW4xCfWOk0XKS5pBiT1dR0yDjFgznje7ZjxqtY
aBgwfXsMvCgtDxDom5IcDBvZYdNDpPyc0HK6p9g0G+sesxm5Yf6AdTJWrv1Ud754oE/Ky9+UwXkw
twHO34BlQhsP8QyygdBWNgqCs5YZa3xNRC2vh2HGq3t0wZtDEenEg5QZ9g5xTWN7i+CUhwT6zAKi
kpH8TmioT+nE2HroxzXqcnX/bdk7oMV8G7iKBzXB1xLEB3hWXr78DPSFalXOesa+sSR7je96k3j9
uJ6YOdgyOMYCTtTrgbRvEnsAi1F0ZnQIgldjNwGbbaQfnKiYGi0aVVrD0AMKX88u+8btBJEbJQt5
K9xKZ1I/qtFVbyElzWFkafyFqkgN/YA+xBsldiRalRw7MHDabtbxo1ujMZujE7PhThEmILNEWCXI
rc9NuPQPODtMzyMEt3E1Zd2SXk+zZk6fO25/suuqatx1JpZ44aLndajByQXMBSUejy6H+9zdCStK
cOeYqYtWwYyZGprupJGHCYX5FsqKdekAnF2N47SP0KGc9XEt71xcVVaJiIAx4NZzacMMXDFea3zp
dLNZC4y1wn6WxpVG/fI0JU0Xh300Oo+9nQeM8FjdhFd1kMqz0dPGve3XcRkCgqkhXdXLpd8O8TOz
esalCzHgSGLrXqJxCiKKi/Z8blRTyQOXGpiPBQzdrhJL/xykjMCvgZKR8LG4g6Md4UG2BngEkZjh
yejeokyEI4Zmf8LBVkOb0lAZgbCXMSRo75vJYss2PItFB9GGJTXnTvecGPwhZF+WJ5UiS6gRVZLu
XS3ilF5aRjC6Xjw4dMDuyzkBxePFfumEzjjK0yKT6J66qnEpbEM8zJ2aCyecfkIFEd9njsuGWZv5
XQbR53PWYnuHqs/BLVGnZZjSZT34IgCnxdQL4J/Jr+9cCA9LmlVrCP52vDWs0neODvrT4PPSCeOx
bDVtOSwIov0DPTFULStDdHJrtfi8HV3Tsr4u8ei4G0hHx39RCNsuSw6xH9xRVGv+JyRC5LHeLYNN
ucfgyHRAAKqNa2tqjNWvSMLKrK4kqLFhi98CVqdv2YT2bDYQ05gT+8kmrBDafAXgyM8LTqz2E4ZU
ZvQ18Ke0DRtI+/V28esULWacDzaIklw7Z2Js4NaVkQgX+NNfZs+v9ymzLldewsxuxlu18wzR5qsZ
/McDvmrEIqqYfW5NqbbKjZHHip9Vu0nRu7FZ4IDWXrZ+Nx9mK/MvQUBzLKAUBFxQuN2zXmTBuRMh
pEWMhpw8bAZWCrIsRD1YMbKUhrhicoAi+CW9ZPbSxjXZ07OA3zMyB7dDmR+cdxOPZlXgywj1ZEDG
F3o+MsRUMNcTJnnFEpRWHJy7hQBiHZs5+z38tj3NBvbB0VF19QAxwjksS0yHgTgXYcZhUq4sz2ek
yeLyrjM1xQ69c7uvWy5Mu9x+WuaMDf9lC/QQELUbRN9q6VPbSa4xhge6AvTJPp+GQd/harSMIcrv
7rmymJxFQdly8tMLdp5estaOeftpXTpp0a6VICtZF5BwiRhm8prd68cy8K0udk2SEUlEmsbx5YH+
PWuKtt3Ty5bX/UjsWwKZ2RhLUc1HczLdCoLsXNryAvMi01pRWq0fJrMRyZXpjHzqtBR812lUUxoV
Q8beyYbo03FauFgBlVhzxU0OecLXR6y2qCC5xyEHVrpiDnG+jbTaeXATg411brXsnLk2CbH7jzRK
e7H8jn3RM26LWtOPYki0H33bBDBAp0CizCyIclJyrXtTTiwLv2g5yZugN+4sjAQFjkuSBksLbnHh
k6TqjkIEQcjm0FxeDcJ3ODBbtqrbSD1RBtV4TDQDgZd3PEYsvcgaehPNub52OqF4dr4T6UrDD9KE
+0RoeQveQhtuRybSXIH6M4kT/1Tk+I1xVIlgsWiTxM2cbpE0arEBfZFoOd7hgeyEDJ/IU6HjAZnq
dpQjzSxT+ik4JU4uLEjoYsQgnpnoR6r9ySW0qnGFPxku5NB615L+5rHIFnHB429Otc/OkqPy+iK1
ID1qQBcBByccPRim7mPTNWB0etoWvabD92jcdaVm43UvAEBHIRea/U3ss6VbbTxs6UUbQF8MyDuS
LmxNHTaM+8I4MViISJ8wpA2hN6WYfxGRoMzNf2Cz5Wz9sY72wVKXEIkaxBK8gdOKXeFH1TY/tGK+
CqQ9HVjXBAZDo18FvdCvnHIe16NertxuLvdycEDRg8u7le4wbzMO0XXGwCAUG/vKRntxIc2huuFp
cy5Xsjhy8pU7u8yp2WlWT9nQ3cRBcTHkoDYtbtWVPov4k9Dc4aGtTeuyHsusXlmxTgApm10RFHgt
jeCEjBORH7Qi2qw/HDdyjpYF7CmFjhRkIAoroEKRv9ey5bvTuDwQGw4J/vQOHGJsMPQCz5tZG8VK
4wTuwhnFMDtIorNDcF6xG/ZZfTY0pnYAcdqIiy4vWKRlwm6Tui0rchkjnn1E57K7nvMpQ7RH2L3+
OI1SWcebrMQnL6GjQ2EBHznKZW+zkgUId8CJJ/bCeQn6meUykYOyEj++zm/Zj+/7KDOoZZD22yRu
b68Dv7sfsroX+6KC7RgOnmfcNWpQLLRxFDhzFXDw+LIdfnzd31J/rgsh2nFdxawhU3x7XVLywspq
KfYyK9ynXkOvUnaykNvJww1yU5fVfHLdhL24GVWU+/HV3+rRyPn4X4DGDgWcy4d4r82au4zqCdjQ
PYaVJCDAc807X+26mdex2/ex4J86Sp8HS0XeiOjY3F8+wv9W7P5SsaPQokqq/75idygKcFpp92vF
7udf+lmx8z0KbB4dGKbSX0p2/L5XOooWGP9QJ0O6AachwN7Ppzj4E49im/wnaiCU+ZDTII/jVfiJ
R7HcfwKXVjS8FZRMge6a/0nFDu3R+5eX2rEVUHZBsuKgF1Iv3S8lkNRNaWMYXXKUjeGl5F81AXA2
u2ei8TS2HGnYaxtq363Im4b2DPO90UofOejWcYe9876lSRyt/Lpwj8vi2dGmGOsFRzhdlzfwHkt7
Z2TerN3kTJh8bjDwclajYNCRqVbOt3A0u/G8mBivCwscG0zaQPpik2YNLv6HrgcNEErXYTGW3g6r
rA42C4yHljmZTCYr5qQj0q1IjKHta83XIJu9bz7YvXUP/mwDSooiAvjiHhNs1J4Os8Not88DBFgM
wpXuxYRTFEn9cOoKU9t6iFsIoIpRB1VLQ+JWZNl8I9FfXraxScszQ6K98TCqSgjUFHe9cvQYOlsm
ToUjxp3iMBL61PM+ntzgaIo2PTMSfydTs9XI/9J661SOuwJ3T0jTT2ZurKUTNVu798zPRYDnRArj
4dYwpYu8136Mx1lcOfWMp/BiWdeDmbWHsZ5hqxvmdeKCUHMqFxfJOXVDidjv2vI0XO2q6eToKPSd
osDhUEgv+eZS9d/ZqIJWLRMaZ0ZZAgx2ZXMa8VnjtqO2vOiGzr5EoY6DRD8sw7k+bRqzxuIFWMCP
bHSD7Zjb87ZzUn8Vtx49ETf45kQRUi3Gq1auljDx3vGPxFk+B7aGnYZXVitROCCBKax4QPBus7az
ThYlsjOLaOeaOdrmRuR4YZiIbp3andZLLM/I6+a1M7RILczIDvF01m7oyJS3RZuXqyovukuTOHbV
c0dWUZDf4CICE1vmwyrljf2UwwoI7c6UlzN9pbWQjrkxENisNRT3a32M4jsmnumJErgQ42VVHfBr
s6yFJCaMM4uO8ZEMHkWLnK7iAZi4N1ZEqLOMgpNHrHzjm/B4MRnMolDEy3Jpq1ABxwCNRrWsd4s2
VCfdZEV77tCfm7ltnzGvGIrWsrcGy/6iltbyMLaAIjZa3ydHO0sMREV50YQqTFg3TMfvhiyKt1oz
nFGk7Y7U8C6YkiDXWtwKMQAhGqM2UttbFdNLYccaXDPQSkIeqVmppb/XMC2hQXby01nfRhDmRwJd
ZK5fZsbJr4ELXml9cW9QylkHhX0ymKzZVL741gnPOxDV3M8w/ELoFY8l6LGt0qHOqzLFWcKeGGpW
T2p+huAuwtroSdwG/bM9BLAL5yDai2nULiY/CDbRIGJmtu0HNsPuyhSl3GodbMoij53DDCH13mb+
dyU51BjdbXXarSavlXb0ogQFUmo+jF7UUGUs213hNeYh645Ln573JWy/psdtpMKyIEIJQm2ZEqVd
rkvqTJtpEumWwEdCVMy6kx9ZxQ1RenwYsdgL5yW3DtSG5Q0TsMuu6nNzLVDN7uiHuhd2Ox4xIZwO
cHujfA1vYbqZbGi50ET2GsPIl5NtJBUvGJbNk35bZRoC0nVjtGZ2jb+NVZ7jnXdZtv7XuiEkd90l
uMssoLa2WeWwPtLoerb89ArXvyecqu0D4EVYUKnx5IrRYTYagN9j1/KV9TIRa7xizLO4qMqtbjos
aT0u4GnYxaaAKHI9s+2GiWS/K5hertE2zI/LAE53jNifx4E1mM5yfqQORBG1TPXmtmnlbaW7TRgD
cL9iCtlGHhEUg7iOiTUOFsTgbidM2xMkOKMOlzWrD7CLCddTDN3WNZ44pz7zfohan1axKY3tlPjF
ANABl+hQc3uEncDUsSWy0xK2+qoeHKyT4ANr4LKTZeubPe4ylKx4xSsxFXK4TwrK8jZjn1WvyNMJ
GW6tNd9yDRE20+LZgB9tQlp5lbfUtkICM3+fD362nEsKlTeSA/vWaiNekXxi6R3afnS+dPjxHpOl
nLuwXyzna8/qT1eMtMfJytAizyY/Et6pKTSsYyJm4Y41/IdjM0PD7YOswqKi6Q+Aq+MrzGKLW19D
hEXJX/N2Sc785ipYpuRB+Ha3GYHb7o00Tp4I7HQMtfwWkms89zYe3a2Rhp4tPDdcJjrqo/B5P6xx
RAglF+1GsLX/gEWs4xxsm9NFjxMDogSz0VXjWTKSjiIspjowWJKgdxk+wx9unppWTx84k+MqnMrh
orOW8oqKXfBDZ7AIWGwRWSd0qONnGFTLZal7B1QaxXdG49xnB0P7NEwTcMbM7o8FiY6dHhh7BX0v
4aExLTOvqTv4JZ403EXUw4l/P4yzc04NpXiGIJ9Fx3IwEaq5Ip1uosZ27zlHgo0ATb4d5tmkbOkx
7bkyctx4D+Da5bccrYnNZhRH90FejdfSa0CUUoXTrtOMqmtoUgJ7yOYov0SMBvhgjHrbW5lBuRxI
8/Jnu2/yk5iq2wKFiLlKlyo65KSOa7yjeVmBtzdXS2M10aqbOh/fhC6NSqakAv1CMDXz4Ezz9B0X
n+bRR2S8rbQsAPweB3HAIPGsHVsjG68rh/0mpFGifbP1ubtCNk0ObGk+CGVGtNu9p2H5GsSywtJq
iYaDMHprWmdp1syAesvsM9gW2w792upPma0gwZq0mkuXCYsD71ya7QZTFzMjxRKZcp4EG8b49Yco
6CN7U6X4Uq7xJXd2Q2GnJ7jW+g4QsYf7y1DBYvftDEVukvmhg8R5ZeUmEqupb45G0rtrVwC/mEfY
yYyouEgTxAIgprU3jQ4Z181M7KCSKrBDoxM3xtD1685xgnOGBIYy9KK6X0svE4fOs9FTl8jBHvI2
670wjdEAr5iHrb/ksykq+gbBjGY7a5bvLgHUBaPayPZM9yszFsEnL6nKJ+wR6q2VKM4sW3zEyN+Y
M1M6BTk7IoZi+iGl8XoRLLb3OFJj2otEMEdnxg5NNlRj1lckMclZHxnWPfYL0Ilp10gbNRxpcVWb
WM3igNuBYB4weMmsZAaGHVFWl2ZiPEFCNqEdOzhSUFi+cYIesHUmTf1hYO4/2sT6NLCW9A5fscoz
noOGcaYNMpRYO/p1Fn1JQc18mpfe7aAyJfJs6IZ5ByZGS9ZLi+NH6Vn5IYvza30Z0i9N5V3CT1rX
/8XeeS3JbWzb9lfuD4CRABIu4sR9KJTpqvaGZJMviKaD9z6//owsSkdiU5sMve+XHbEldVcXTObK
teYcMymnkCHXbvbRbgKkClCwMrQYPXLWYpLd0y0CR+vWLagNfUhsh9alsEA5N8lPgacsdyPrJn5X
yZXgDyIPpLExDdtcQ7NPxQHpRnzT00zazZaKjhYU34OSzrBVjV3sRyHGK9SzO3fsyq9JZkHPxMPk
fUVO10EO6els5i6N2djxok+urCPE2sImY14Gqg/B1o7XibXkR3p2IKHRexPIkXZxJhHIyexLI4Kp
2nT6fxojKVha7Pm6jtrkfUG74SmFpX4QqWNwPojGq64hCocH3PUv84744lhQI2I2PfmqNPo9rZwR
7kUAaRr3Zf7c06IDxRLNqLOS1IG13DSWu2sjpS5zw2xOM9O1K75hQSRhmn6OFABHtIbDRdm0GGUD
uzq2RWxvcU++b1B1jSGmv46ZZ+vd4Qgwvpqk2n+Xj//3lPybUzJoQxNFyX8+JV+nTE3HLv37KfmP
H/rzlBy8QXPPCdQiA8j6S9QSOG+gQWqHg8c//PNwLN5g0NGdJg+9GGDyv+QsHI7RDyCk5D/AVUnO
7785HHP8/fFwDCOflpbE8Q+thQbXa31VZ7rIf6kRTsoRLNBo9rTQVWaRtVLYyOmDiEuPIB6nfkib
tbpRc6BD6EthhlUwZjtO1OIxG3K17jrepdvEHzKiNQwWb/D8hyUgIWGAQsYJNG3areMvPh7iKMAM
FuWzR2XkJJcTxpgrEdNe2NRWcQVPLr/jGOcfShEkh8iLvANnBjmEDB+jbT/m7tm/dsyl7V6P/Rpt
FTFyBgNUkHibkrC9S06w88ccmV3OGh/hh07GiWAZa7iYKtJj6lbSJtbZA8dRfMpzVb+Qu+pfUy2T
0dIt/rDjP4h3Mz3qfR4tkMlBOcQ70w0IOkyiWhzNNZIXeWcZn+eaPi3y3eAWXoJ/rKOyQwZqRW2Y
AEO/w580Hgbb7h4kRfQpy8ESMr2DuB3amfWV+EARZk7GoAcEEzUl+J+bGNTAZd8o43PlxlrN3dTW
DXKgigqtfeaA0z5kVIiHHMPFWwByw2MQDAtHPUN1n+Baxc+dkedBOJIDsnHdmJIUvz0BEH51LERO
G8TSy0PiBDklh1442vMaYsn5PQhAwgXHqvhU6PUm0CuPqdcgpVejFCuooWLnlHcDMXx6vWqiYgop
JPq9t+BC33aunteKdbQ67ieLXXBe97hKI79Nr4ZWD1B+Nb0o7CAW8kX12tnrZdTUC2qml9aljYqn
upLJ+3xIkxy7esOBaSXGGmuik5kEGOoFOzkv3qlex1u9oo/nxX08L/SrSVxMouikQiQSfTjrLaFQ
Nkh5kqXmb+l5z2g4UaQMuXt1aLKkuktdxNGyXb2ruKvV1lHruLGoDq+bgemLdd6eyGRlq6rP25aj
d7DovJkFYyw/tctMMEveOMST6H2vbkR5oRoVeyTgsS/WfoWcq3SC+zhak3Bm+2z0Ppqwobqdc5OS
ffK50vut0DvvfN6EJ70fS70zq/Mmnen9OtA7t3HexKPzhh7ovb09b/OJ3vGn8+Y/Iez5MAQFGoIY
rhWVUNV+7FYCOoJmNl/yzu7YxdeBNI4Z2OaFtPO533R+wGzS4jwRnAuR6FyUjLo+saE6XLYikZ9G
t6XJb0oe2tBjRHzRxJX/MdOVDhJzih6YD8ETsUGUQuu5LJLnEgmqR733dd2EHj9426Xyk6FrKpfe
wbU5uutXp+kouSCS1JVO1aqes3NRVpwLtErXasO5bFt1BefrWq48l3WDrvDY1qGpDd292aOt27Qp
73Ona8JVV4e+rhNLXTEqXTsSo5NuZRKMO6Ury7w2yWkTvReqc+HZ6Rq0PpejULq80NA1KhS39MHS
dWt9LmGNczkrdWVr6RpX6Wp3Ohe+4B8ogj1dD8cEct/k5yI50PVydy6dI11F5+eCuj0X10rX2dG5
5PZ19T2dC3Gpa/JWBJTnjq7Upa7Z63P53utKftU1fZarJCBdVJf6CIWmvaHrf1efBFp9JiD11Ly2
zweF4XxosB0YVGHAGes2oZ9BXhWdi62bzNExYaZjhbhIHglQb7Z+HsyXmFLSsCxyuP2Vd5LNiueg
qor7APfVFo9YdMxyls3alO2BOIunuHLGQ69zwFKcTtOGJKuOKXpOwCr0D+odsagvoAOXknan225r
wlKJIUwma1MIPwNdZhbTeCmL1q0wRaK0TN8rgw7BxepJosqefRJ4aSkmnW0OwzNKHELtgLIaG8ZP
7q2ZzdGeIKruwS0L8UDyXUy0IikNnp+r4xTP7xxiYB9aVIkPo4lGDKpbFr1jMFo9I32BvVx51XxK
1jh/5wMrZZGaea38tKnuAMyVd4GHMK2PS3CxaS5vgrjsw3pS5AU7HfmYJrtduJRrejNapC21PuG9
W5IsypssEPy5bk6XgEAwLgy+Ml71wOKwwtT6qjX589UyWNeOQ3wUeVRD9Cj9zj1maT4/xaPhU19O
UfLVVsZ6S8LgWB4Go62vVoRJN2QxNo/Q3bxjzBf/DMxMwU/qnMMytOMeiZj6SIm71CHQIHURQyba
ZygcNos5jDvwGuMuHxzWI8SB6tIalHdM0qQOyzm7a4ux2zitRaA1TBOJUTGPHmbK85oD1zVjG1Jz
Kk45vGtjfRcrLz3o6/kEtcqk361I5JQ0FTJsPrd5Pk32zrJm574IVPKFE3B6kS7GTDJAuzR8jhjW
06q89d7Ku/mALCE4Tpzk3nVRXd5NJsBQ3ieS86oRnB3dVmIw+zmeUgivK2DErMI3iFauvUc/w3wV
pyHxCIFn7iArCgL9Cnk7Yqu9Vl6wHHs2xnTTWPNNFfifRZ0Gn82eMJKN0zstgMki+SjmKD/2tdHg
8kkMnygzlhoev4RNWhY2Ii4hvH06ZfldFFCC0GOct/lguh+sOvVvLdLedgOdV/oYsNvAzcyzoyAl
WVb9iLTuGRZEHO2mhBHXZdsDIQQ65FsJXbA5+JAaUf4If7tv71x8+/0F047WoFFKmAIxiXQ2ryx3
SNnHArPi/LEOSdqEbPxc+dpS62PXxtsF6e/KSdX19g1zmBBaixuFWTzfKxP2zyWkmL68GAcjeXYa
20lf0NhXFYKUXDi7DlFRrMUkCzGm16a5LNNwqAHIiPHEI2sh46GJ7Br9CyeZD5S9y/s8N6rP2bRY
HGtH78ls4+bUtukTZ0h8JXZbHr22b0Jv5Hzv1cuDW6gPLIDYQZKXbHA/eOM8frJrndEjOwfRpzN+
8AIju0BHXNy1ZrGbZWlccXOsDbGb+bFC8PjNVg7ntqGhw7yZW1qQm3RMiwvYscM9rD6oAuMoE870
HYmGTz5HyF2pLHWfKOqdzVDPTmn8d8b4tRrSYf3t6Qki/K9PT58ZvbxUP56ezj/05+nJegMdB8+o
iZDZ0yeov2aM6PuFb0LQQUGEEu7vrgD/DSleWFsw3LjCPg+W/5gxSvONy0gQeRFS4++Hr///Pz+Y
4PtX//+HkIFXpygA6aYNbx79OpPMn+f27WKwrhY96T6gwxAlTHGZLhedM6WAmkTllhsEy2V9leUm
8QgpEKTj0qwJCxz8UtRJKdRwc4u+k52Q2aSrVqIHZCGzy1ijSehLVlq8VfVdf/jblf4HgfgrBTyC
cP5gn0sr0Ig7eJN+HI76kJ6KqFPdJdIOhM0JxDmHbegKJqG4mRF2/i4Exfa5V38XU/CRmDAReGPh
YMTLNfvxI420ALA11vGl6wZX9eAZWUhspVZgSbLzBDkURnuBrrH5EKB1a0lzl9TNF4iDqOYpF836
GHkpRb2aPK4Kq9eoDtaAJNuvEGnsoCUvjH1QGReWOagDHnakBJwuul1MtBEqyhy/N401wq5DZyGW
ESscYWSXhosqssBzsbVMRMlD1WgpHKkYKfrdaIp3nQdFZPtdpTCzyEG35Y7QHBv6cdxHvbFer9oa
0Zk2DwGEB+eFgBtEmNJAsqegAqPVq9FPeHG6crhMA2qls5icWhpRWpvE1pNpGsit0rP0oe+y9gNq
HOTI7syfsVipT8TzWe88zSi03Npqk9slKdFNnMWZhF/p2I7WSVjGWgIUn8iPN/tLq6Y1caM4cht7
11vd5tmyR4S8Q9fz/MW9Vk2DxJoeyIeyngxg7sv7xjcXXAmWTrRMezhhbCiwjo/AYLWsj6xoFULL
5qMLWKrxpqEziQI101k+y9ligHI0S+6iyUSHR3wlBkdJEB785rxyXrKZ1vi4uigNv2ukIbmV2zZ1
7xN35FeLvuUipXBh6bsD9+ufE3LCmwupRFnuuI7IUZzU5rKkRoG4dnGGVj2u6KhUOEEeMi9jRRTc
ibxt68nTytUAgxr3D73hJfsm+u+0GAzqfNTD10k8q3uDSGLC5P/KKGajModd3628hEWgbTGd680e
wW7g0fQ5e1s47Hsb6x8zi5Uz1i9xNjjXK4f6d8bkmTfz1DDCtvP4xcL7e1GjKCVrliTGF41XfI9V
NVuYHPHIJjOO/GmeUMLD3eWKE6eRIzgE8bvsoIAH7wy37Yd7K1Vo753J47Fh1srlndPS7W7FAH6E
SXZsVEVYjq1NstqKdobMlown0vo86wxwCvNGzt/WbB3R1zQSvnCzzCjUafE8EfyM74DWtvPSWxVD
5KQOzCdKAW5PkRutC8Nu5t7ms8JNAYKz+cCV4eXyMuLbDzlZ2tEeH1PTP59tAlRevAgGNeHC0ZKG
5yFHynfp4H5o0HD1YHKmrCa5PrKWO2k7rc43XJcruwIhtvHqkU9x8SyqjcnbFuy+C+1BDaA5HJ2u
vqyS3OqeiCk0jHcGUND2arA6o2PCFPCXFKvN8qswswZvUynK/IHMre6CrMOuDaMJRbOaJAuEIgqO
knsgnwuPxIzgLAhiLgQH+e4iKnyEUSj6eHtQkKD3PD/I0Hi5cbU2oiCM0y/F0El+y0KaYsFiXltP
6Qi5JfRNP3GfIf+P1m3GGIQYu9jM689nl1fi+khqib7jMwlty7CjR3GXfUQgDQFw45Co84V82CF/
37FCmPASIuV0DDYp4nyyn40I8lIR41ZBd8FvEjxOJ4bp3PMB1udNxmxwee9Da86/Oh6hpu0Gth0V
Zykmy7rFIMKLu7HGLHaPUWX5pbWpa1cIDoO2ohyHSgHsJY3FRzDN/SZNY/8G1Gnw7ExjFNbKfPSm
eEHWXdbj27VeDc4RfbLlwdDJ6XFytEm+39pRhNO3RIuNRtdcnW3ilc6FAXt7vqplRqLd+xiReL+X
NFHoJNbNGjH0bRjNYlB7hwbACu1SwHam0B8IKtlwoITmlcxMSs3cij8VfeR9XWI7IsGnq24HgtrH
uWvXXV50y71be/FHx56qXckmRTQ6cg2Ip9VHE4HdnhzKGI8+HZqNGLyO+Lw1Dz3EQTZa4ry4Tpu4
eGtlPT5i0Q97ACXLxpiWJdRcuh2FenOLCaW8cuQ07kY6Kvcs683HLBiTx0kWd7MnluzQoQjYt2sL
yzirK+gPdfoY927xdi5lH++7oaquOCGYWw7b6lQQ8rHHx8asu52RGxceLbx0susnNp3muXLKJtlm
qq/2firq9/ig9KUlkBDQqjNWoPTH5QbjiQ1bgnTbOPL6b5zEuy0h1/LCwqewnwvLukGq7aG8EU4F
932lHNj2nTVxEiHb0y/atQizwq6PXrJY+9gx77Oobg56BrtFPdQ8Z3nXzOxSE8nV4Iin3Vp64007
yOiRpF/3YMA03zuE14dGZuCuWleX+I1kaC9ZsNcLUVXrcTbM4KjwsezWviMPzZKoDscV60vVu09T
OqkvAl37JZIzddlVXVD8Ruz5SgxJfaLZiNguLSbQ9k8l0VrGzLC6QZ44tYoJfaxgi+GxZZ2rgHug
uXH5qdAoMSeDTs94SX9dk/1UTUrPoxnvmayGAS1+/Qf+TbBGcqLtZ0UTnZaBASwkoiIUMyegjaQl
gcQEZiOQyt/lyrzSuPK1gcEwB4COgmAOr+CPnyojBYBqRh7dFizjqUxZmZrBosj59bd7ZaE9fw46
WtyIlJsWw4wfP2dKanfs6WKdJJYIFnWBrrOuFlwqS8SK9e8/DGErxEMqdFp9ry6lySJixFShJ9hb
wa6uE3nsMQSGBgT63a8/6udKGq2Drz2W6HeZ5ryqpFvSTRpjEe7JdnHqVgiZDw5nfPQF8OF7r/6d
JvkfPg+msmXymAgXNNkrTTKwB9aNonROZx/P9z2wSnQEBsBu7TVKVy7vr7/jz88IBmiHr6kJ7xaS
yh/vHd14GnZFjj1hBFU8z4Z9XKDc/IZJ9I+fgo4/cF0TfujrmRQxtmQKpL17iocEE0laIQPXfpN/
/104UOIkdwNoWK/fMnewrdYx+C4BzLytm0LtsBb8uL/+lH+4S0z9bGH7nHY4br66Yjlyp7QhI+Nk
RbixmEtzT3Q0wrJbSX69GRrSzH9zpPt5+WBN52XmazH/4mN/vElkeJAGVrjyZNSR+2yOfnxSYqIU
GQu0peTqoF13e8Xi9euv+vOLjcg3gHXIt0Xt+/qrYvRLCSB0rFOuab0R2MfLQUvxVYZP5Ncf9Q9f
kYfDQ6zOm8aR3/rxK3rF3PFRpXVaugQLc4k2XmmjWyF5YHBd+ltEUulvrus/fT+XzUGPS133J57m
JFJafvBUToXbwq0v8cTTo04O7dmO9+sveNa8/81xwCqJP9xzpJQIlv2f3zS4H77gdT6hvgh86HGl
Q2CRJ4qHZlLkK+MkBta9UiZj4+FUQa3V30zttER7afSSwwW5LEVs9V/MpMe8BW4by5Sfu03xm8vy
8xMeCFofAEQQvNCgebWeV6kzg6rB+GGVNh+URmnzAb0m29WUEX6Jl4yy/jdX5+cVAiQLbxW7I4HC
UBl/vP9xQb+E1Bgecd+g1qXLzvlhWJbhi98x8jl7P3neMzyaLRSTD9Okzd02+cwPbW/hM2shQLV7
qqT0MKwmotdf/4H/dE1YKXlWTGbq4jXvSrR9oiaft/7sOM+Ek30k0sk+9YUeNc6t+F0b56dnE22s
fhto5fCIog/48YK0aa+L/lWdJhnJl15keJXXtuIxXbT17Nff7p8+TLtTBA0alprXu4CvkJjFbbCe
lnhZ7rIqD65E73PKYR7LKenXH/bTreabISOUQOp0LfYa8IlDyWyIxlhPeIs4WIJG48niReSU+OsP
sn6k8zhAU1ku9d7t8OWwEbx6kAsSzxYkkjMbeIeZSHCGG0OGbkP+Fgue6i+bTJv5ZCz9q2ROyoUT
iWfj9QRGeFzqdnkg24U+gQEy1w57AGAflIdtUAB3/kAMi23vRaG7H3ObcziegZ3dDYiyMQD++pv8
fH9AlwdIVtjX8HS/rkRSwh4ar+z7Ey1/InwYjVyWc0Lw9L/mWXDNGDdw4cA10NL7iRkyxMIaSHzr
Tp1w8QNb5Hcg2SYqyLBw6siKmNnffDm9e/1tYZRsa55v8erjJnHIu311lyoFs6/tHHly20V+dV1r
OnUyCt6dGyLkVtHVaVXhvK2XxfrNSofu4fWH83oRGk22GjQ7KiH7x9dMFiTNQbnPTibUrFJtRea7
eX9YgTjZ8OyXyP/kmnkut1Pdmz3jQPz9Fd7A9AJNOeA1y8rWB3F2SypmTQAwOxhFG4m0iFgxnHiA
SNweySS//84bVqPiN82pcxFgmtPqMt+u7x189O86/XgxM6R6QPOCXmzq1qbfWC4wCGdeaI31UU7f
L6dxxPC1nVAf+DFujGtHaFerQEh6P9NtuOncwTgsMnXv6tU01KHGO7Ghi00IvECGLhgoYuTDP++M
AerkrrkacumZoVZbzoS6teCaK5WeZj81QzkVDhLQ0UzaAG9ui7KN3rfAGvFiKxwIvDNmRvNobMzC
/DJ3fk5T3MAXAeyh0c1QJq3J3YQWJcbr26r6CGqCpnfQ4Y27+M6yqFrFv1Wt90fxOeXEi++DQtc1
bcO7llSYVb/RLU9nLNNxx8F97RAi4CE3lgc0u2WCcbEu6qs8bqfhvrcJZttajaetbmbZ5A+1EuwX
3TiYLa5OeA25sPyr2HXr/MFrzP7LQjSaosObOeqr7VajvO5a/CahNxfc5kWk/CBfHWjGzJ/72JgB
auHcyuTVxNUk+acZ6c2l+QCE0m1WPp4+CJ0rsntphPvlCmpnsiN+4wgKzPykZq33I9/XeFzwlCtw
JdpMHIhK0sJJChuqCzQuZ3gwMbv2WzIdaLxyXKy70Fy9GX8lVtPjNHVEq2/HAc6CapCjb12LJdxR
MU8QMAaOuJZH1N2VnCJzPiaLgbdyWMwpvfkOB/GbEZnMQoadtbHAS3cYR8TSgfHUtmk/hVJ4XSW+
i1gphaDzvQ6gZ8/Tp2Iw4xeETNI3wxNmr5eEuSxMsdVaL9+CQUUEWcIH+d6Cc4qRP8aGZ/gkM8t5
SaMEJFo/9uAtvr9WmGbgMeh3Blpr5r9UZ1/37Kzmk7mQandBt5fevAXzYww71+Epan2Xg1FSOFxX
q9c9czvTgMWUeIH9kjJB+D6aMX35Ejm2LiRiScHu1558Kc1Md2I72vMogTn+LKagA3/e/vC/0GRM
6F15V4hNR7XJRbpke9KiRH9ZkqOhDmVjMGkoVsmFlSTT2Hum/XF631ctf4gp6J3ssT/0DxURJMvH
cfFsY6LR4+T5g0+U3njtLIX55GZZJcOxi9L1KwwqHtnMby15v5LP5G6TldqYiDrQwyX7MWOApEZl
Shsc1ATTHDwZcrC99xTmOe5kpxt0ol2RTo2RoYBVJb15o3BIlu56uvVrAXpqTwdN+XQEkHefSiEW
Wm10yAcNklAjtLzvO/5/Vaa/m5NKDHd/2+l/iqm/RTZY/zgl/f4jf0xJmZG94TCETJJ5HqWMDnb4
w4lJWf5Gh437HEM5vf8wJXXfIOhjRsoMEOUhE9b/c2IyJQ04RNKNOm/xrgj+jdiU48CP2yfTWW2h
xoSod09Yma+q1LwfGUBh2LnL8sDOgtA2tea0i3P3NogaKe8lJ6v+UBeiIrEuAgjobOYpdcM8Yhtc
blrbNZuNlwOygpSRD/YDXhyjWN47gGNyIi1RXm+aqcovyC8V853OufxSCnTvIAH6Cktfh1WRsPDR
rOOEmayV+9OhDmS8K5M2O5XEXX2zIWLUGzQW/idDe50XlwO0l8uWTniMv4BMuwfHn6NDTKbk1kYP
iowlrVFA2u44blrYTgAIi6bj7bCl8dYTxid/cXG7O7xjFVHbN24ypcdUqexqybGiePBbPs7ZaO2k
QJKxIWk6eeiQKOHgrJf1bhoJ+N0iSymJn234xht/VINPlEPRsAUkaPEiZphTGoeElrifUmZGb/vJ
TbIbx1oMOkGNd5t2AsXrmi5JGhbuqvOtE7DAJKUFqI/EkK6PnjNAoOFOrM/RWsMDRQA/oriM4kcO
YxEBODUrSAiccjqmbpRcqnlZnlGGms7BlYs4xpU97cgc6KtQECZk7r3BTWjxMWJ6zw5MZGDcZn3o
e1N5MvpKQPzRwbhhGSn/1mc2CdG20Mq5TKVorbwFWx+s0r5npFJ464dhXFv3jm9iidDKidjE0Jcs
W8Qn9q4XnA5KI0u+YeKDjBKn+QW55eN+jm2mY206bsc68e5bpHkMjenDbOFs1/e5W3Ynkmlp5Zat
eW84wbyrphL6h8TTu+k6x/0CwBQTK9KCG8TUCs3pipMs38Rr4Jv7tjKaKxmLbL0W1Si85oQRcvab
MKAP5/s7LoQkA3tKquZO5m1SH1WVmpLRDDNgnYcNxwBLcA/FJMor3FNJBQuQvFDg0nJbMiuz78c+
5l4pc/IeQYmk89bT6ZjvgKx47cape1wwdCaiTScSPKj2suAxdC00lici8DrALE2cfClbdIT078kX
wxK6opmZHJhbYeQv9Q1Bm+kVhrTk0o2q+cUqE5zLOeyoHQlF5XpcCCpxwLlaFR6iwhXJxZoVmFLo
DRTmZjDXwSTPiVgpwNKlt6/iNGUzBd4HmHhKGOGQqMObHfke7qKGCLgtMZDjHDYYm6crpdKx3VqG
tMM64W5um6mctPTJ6AhzMKogvqMXn/Yhid6ld00FN98UvSMOXe6N2yS2Y8LZkJVNYebRwisML70x
6roAzx9FBWlaFHHdtiz8+dlK+/owIKCOT1L0QJCGTN2TFfyZQLCKd8pw6yX08Yc7N0Nt92o/tEkJ
FH9c6+cF3TdWp3VMnpQCZIu0oOmqA/+QxnVgVKilWYnWR9kGjMkJHaeFnoKkdw+FSKz56GWRfSQd
uvs2g3lyRvpidur05BZCDG8u5lxrG7poXbZ+Y+DQ7XtxraLMupfVzPsYyQC/Z4aXh0EgCrJ8bQly
WWz/lBnoILf+bCzL1bkh69l9RV0OSejg+1G/K8w4ginFvar3pEBlW0tJ+95oVjHtwa4XWzfIrMva
rbBn+RmTVYM0BKb1uv5qlEy3AkUA95lQ9OxT13rZSyYG4y1G7ulDL5apI5RSSt41uUxbYB/Ex5iu
MRy7OJYhOW1Zv3OBHXeX/AeSXHIDI/cGLi0WqI2LQwZrcG84Fr086TmN2BBjKfH5UvxSqLn45hy3
I3WA8f+EL7Wz612kk9zgqjslxTdxreSV+kxKnjhB2O+mWb2XPMLMBM+6haAS1oXrz9498bjmNh6i
dTtYSXv0UEwL4vIGa0dIID6BWs++cdnKm4JsXFBP2LvNa3D99bUalJsd/La2n9theab3MQWbwU05
KRCBXvhAyMQACWgiE+C6bEod1QZUF4cx/u2a/Su+Nxc6CLTEZLGq9aK0vYEMxVAaEeMQ5oGzfyP9
3Pze2PhvPfWbegrcvEkF9J9dO4/1OCT/b/uS18PL37Vnf/zgH1VVQFFFI891fCiy6Mv0oODPqkrI
N3SKmLv+6ez5y8LjvKH7DlTQ1h4dOrl/FVVo2QAx6O41wVCgXtx/U1TR+XhVVIE/dxijUfyZQFSY
wP/Yk2AGDZk1ao1LKc3pnvoPIQZCyWNZkPbkcV7bCjVZD3bhTge/lmpnYlw/ahXCNs7r+QkBdclS
w7tntgNGY3I+sKNzygir2sxCz60ShvjxQ9zYFzIfJpahrgilrN7NY343W3JA/hH7oZFDIsdOtIS8
PQGmAdz7vcx5d1tZWI9DhYATj5uW1cfljZyn/oliKNn03iC369gVX4RBteHbb3lhvtnN0GLRHO/X
YMVYWrvOoZ0Ra3NiG8uHNFPjqW789nL1EvxKS1vmh8lW6TYrqgWHqIuzP0ZUnmVqOEk4/XskWig1
8lq5AMqEoO1Bi2ozS8xDzO5hfXtLC1x/Jaz0QolO7EQjo7DhCHUlOv+CVfyhERiU7CEwr8kMv6yi
pdxmSzDiLWf5IEFq3bStD/kccG7IA1PvMHrQHowhVKczoee53YXcrPJSARrce47hUXFmpGXiGNqM
eND3i4Xq/2KpaECFTr/EyBXUY+tU7XZek3fBalrIAxz3CGN++lCZNcL3vg22glC/6AbDhCV2RZ2k
XRC2RmKKy6mKbPVYdXaej7uUlC7jc07umKc2NVGyaj/SbKL4qOoeuZVTQ3swcB3DpmL/e4BO6tPC
CoS2d7bYsbt1audDCb/2AqkYInpUJxV5X9K7XcpqeDC8gVzuNQVkTxSR6u0Jdk/qXHl5h8OJFNF8
Z+QK2vYwBZxOs1HmN2A9UANujXIh+PLAhqW67prpBl2MYpPXmsu04Rf1XhA201Kp6uRF1eB2H2or
ch461cwoSQJyAA1sZ5xmuwx/9pCXhwpyhBff2p5Wd+3pHgl6rlI13fAQ9ERJum9nMfbi0ZhWCvyd
EWQFrk0rxsRv7QXjwgV0H5nI2OKuZ1qqTbtv+6jCZlkI833tN8v9jAgany9Z8TpEx4SPlRsx5SiT
zSg0xh6cabpOxrskd9KcHdcrV/aLcrnOTSH8TRW0X+i86P5Za0UPzGewALCStM0my5vkXeRUeXlj
ZKtlhiU79a2aZhcwp+HNUThSSGK8QSVyWjMzuWAUbOxSBTQXQ9GI0jtKvBgfd4cAG0NRTi/AtUmC
k9a2iMv4toWGdutijNkNU9OE4OWq+cAfQMEhemdXxi0QgqpQF6RaNHfIHKt31EwEY3itKRWioawv
NgDbO1y5GV4R343AQWIW3zj9AIE9RnwGzBL95UaYlcctV3mJrd8e1g2JBNYuQTvzME5eddf6TXzw
WrlJzMm5DbIpfoqKZrnEDmeRnGDE6jsU+b8b4m82RJIetTr6P2+IN18/dS99/sNm+McP/bkZOm/Y
HSWkvr/U1n/fDJlAEvkGbf284/1pZ7XxrDK88aE66WGmHnb+qcMW/2rze60lBh8FYIqDEL0LPep+
jYvWCcDYXZLpyi5VMCX4N3FSuDlsiTZbqys0kXJtyiMj8eRrcvbM5No+4/gYaXptqSlKH3dNxZ9/
DQ/BvbW0+WY5+3AGbcmxzu4cy+6MPU3u8Vlq80539vFM2tITDH56Y2mbT352/NCQt3YNM9fQQXF6
M2hrEH3Odg+8osR7JKq7QVuIgrObiBNgDsZ5nk9a2jNuFiRHz6Kd0cWKxKCdTePvoUj88qGzBqK5
MS2Bq2DlNTEyua2jHoQ2N2mh297WhicFVXZnzPZw0hxFwqjsHB6euexkIj30enlbPI3ApV88r2wv
OApFkI0VjU+Apf0dNUvynq105DRVZxAO4snaB4mHqs9pkwdncbPdJEBa0Bpgm+2YJ1z5bf8WrCnN
RBNZUcfkgEmIsBv1VA1jzqls+ZQvSwdVcMp7ZmFTetWmFYt11Tj9R/TYM3Qb7uHbIs/KGx8//N4Y
EnXqSt1jTlYbie3ke7rP6jMHj4z0zgr67MIo4ts5z7K9ly35ViXU0T09rgsx1/PVklTjVWWY6U1i
lggjOSusj6u2PuXMAcIBy9gthLn+Aqhrde21Yr6SPRs/ZaD9kkmbc3NgDo9w1YslZASZ7yqrGdhg
Ess/lg02U3q0Yt+ankGEfFHdG4OwH4dVDh+QRhTfVqsXT9Y0pls3X6pbYu+NGzv1kMzh+uJawcNo
lyq4Q3lSPhPiM+1Nv6m21cAGPlc5w0HhGDvD7hbcnH1/C3eIOckyLGFgT3BnMh4cfeIMgs82BVEX
tp1JeWUoIEk6xC3fScq2+6qfBGbsoB1Qm5RqU4p62vvMpjdIpV4ma/Ivzzol2nbNjSQKPhwriJKG
pVD69vH/snde23EjWRb9IvSCN6+ZSE9vJb1gUaIE7wIeXz87UqouMskmp2Ze+6Frda2SCAIIhLn3
nH3G9agRy7TqWRzPOAWa2yys3K3aQ1YBGJNcUa1i/U/D+TK1koplywqUH5BAIKkEYUMSUT3Y2bhg
De8ORWw7zF9RtI9TeEIodhNflpq/xFquPooxGc9sL1VB2jbAvR246zRJ6v5ayPmfQhdLgXJcFahZ
3Hlmal26LBlCrh29XEViuZ7ocmVJj4tMd1xwNLn2WGVNRT6SK5J9XJyaoWChiuWaZcjVS5frmHVc
0tzj8hYclzqbmsUD00h1NcmVkIxyddV3OeRRuU7Ck2bJ7OTq6ch1VMgVNZdrq5CrrC3X2+y49PJt
j4/NcUEe5dqMXYtlupIr9izXbrCZ+b6bcVlRwJKLe6/UFsAWueZTMdC0pfJ7K5DCZXa0gg2CY5dB
tTTrOmAmiavZn/PyOTtuKzq5wzCOm434uPEgp155COHsSNa73JpkcpdiHDcs9OTYvEArZSNTyT2N
Lnc34rjRCStdsOvJfu+BiN84bonYvMsdkuirUFIuhuPuaTxupYLf+6rQyav2ppWO+20p9U/FfgaL
rszL1k3ysfJNGJLDrUjG0P1hhilR5svIydTBus/pJtTOyq0QZq0VgE7J8+QAK6OKwSsSLFwsbv/d
B3yyD6CDLXMg/vM+4DFufiB6jl/1Gv78rT8bAdf+FwlqOumBOqmoktL471Oxp/8LiiktBQ7AiEpx
a/19Knb+BbQCQKfGfyFu0ODX+GsnwLGYXQOQDNsEPPUPwRZc4oVKwIS3ZsF6VHUUHSgT6Nm/PhTr
mhqlnRXZh2OvUMh0D0tDDoMrlJ7d0fTy4gF96qP6fUFErTAm0QYQv3siS6Axr1c4p60D5hzX13qE
RbOHD8kGvrcN4X19knv7WuPx53omaVU0aGjrnLZSWOvnhgx78+CUkf2ExgqAd5Jod430nH18a68V
F8dL8ap51ygl6RCd7rEEWpewSzXzAPSARqyDY4KEaAwKVJhRMM5EszhpgrUp+JSH+85d/q68wBFD
DX1KhkUo008qqLtDQ+t8B7SPLQFzoesTVPaprEmj2XY6aBiBVFHow7nUeU7e4YidOXfG2DwMpc2F
nErQqR8SFU1T3zqUeAsjqaI9R1U6w5OI+uYLCRi0VkeOq0tVL7xPZI5vbx9rhUwZcslrR2Ij38wL
IThrAzytMDAP7jGqxWMu3aDe4B//t2sh4bEMpAhS/33SmyPFGKb6NJmUgkgE6BARPjttPt4ck0Q+
HlDyOf4t4ZEDirKXDGvmtEAb8FTSFaNqp8remQd25b8anXWp03PlE93Ye8+OSUg7XoxZ6uRlEoxp
Oq2emYc5bbD/uT0KQRfE5lKbUzr4H9/RScDc71siHklDHmTyCE/FxEAXtX7G3XNIyLBDzNFzTS1Q
kDDQSK++uqTLPJlSF37UIBL5Y+zCnmbAJ7/G2xFso8Wk/SU/VaKcTgZMoGt6ENipeRgpSe0N2knA
egLPPauUhhFaexjnSEenUzbNHUqp48drVeQ5/C9Umu+9AZOjmenJN83B8PXoTTPc33la8fHKBBdV
pW1x1KKZeK5XH9/4e5dClsXRElWYoZ+OKGTbohRObRxiuC43v81a9IWZ6l2bN/HxxV6vLUzf+FeR
n4LPQHz/dvhWUVtmHJeUfYAyal4gQK2+wpNF7TcQZtAX06eWCVm2fvHFyEsCgpJHXJDIvOBTRV+V
zoTaYmTeq1JFbroF3ROcp5jlafnILFneq2HN2F7dBJ9ZyCeVj9gOHEVqfOgw1lvYQWJ7nEEoPqIU
m2Z8g4uAPBlskFr52UOyjkvs3185AnQbzwGOEhl0ZcAMOnn9hTsm5pgbJqJXFZ6nZGGWkooZak3a
oQnLCWQmUyIRsDM5bE428FrLvhbQzqEY4n8ByZYHzL0BmePPMyD/5xEIhI0Xd5Y6JXzRka+KROtp
7w2odDS4jk915OLhlQJtNLDt81GW6GBYFH6Dymw36Bhq294pD25oGnuR8ACPLKarMM5QEiOq8B4Q
YeFJJqmp1rZaY/GjCY8RJEd4RGItMxGDiAq72KCtV9RcQxo8YAJPHKJdVeUETMrQootx+zakucN1
MjXiVUoHL7JCkJm9PzpQG2oD5FAIDT3UMXkshdf61ak4ae7JCp5uNE76VxCrUAHNENDjb9rk8crw
8tkSaoAE4eFo1YHpaj9BrWW0H6VSE4CI50ar5AqN8Pkpn1L9R0Uk4ravnfoGvV+OM8WpYRWHVHyZ
fyn4EwnMgqpNmob5t0a6ObruGUxYoFqjyRMNiHOaTIAVgWE0z6JpXV8pcRe3s87zwVzp3DRNOD/o
Pak0lWfKZrxNzpLG0f85zUMdzwGl89XcABBaupPwHrpq4k8pwYQx9+hvzxO0W0eXtNlh/v29ohas
1OsKYxwivjwSyZYOYks4ALjNgf6kDd8KOv3s7CO5MVESB6+0jG5SEx3ZXjnZ4ypTFWmQLTLU4DEY
HD8lGv3JsVOe5pQkVbvsSxciTa8GpIFUcr7EqluTJmWS1r7RR51fhqT6NF+JlnXRLiO+v1INsSfn
s6tdREouI0WsHIFYULpozJzJlIr0lO7zQisMxjIsRe+hUQN+rNsSqTUqxnhVadJc3lIwHdd0PNl0
ECaMGBJ6+AySJJvDpRajIuxLMkzsqPP0RXN0vKFyE7ehMevbGTGk4+uI674VfV/cuXM8nWc1GMqa
RD2N7nmmuWsNbNc+zmCehhldBHAz+BWHYi47X20C+y7L5nhYUNpD+0lLcrrAH6cecjMqCVtIiael
TQ3JxiKmfCrm6S71gIGgp6iqfapO0LMYkwgU6EVdt1VDLEsSdPnPEn3ZL9dExYnNp7vwjlbEaUwC
PP0pM9MS1zAAYxWG+KKVPkY7S0WzbqzJ/jHOjuYTM1KcIW8Q4RqHjTMsvA5WE5V2DJNlV15QLNYG
aDNN9C00FMJByE7Agh/Zmxr/4QFVglNvXHylXwmmadcc5edvdjiUe6jtIQ7HwZy/FVmdrkAjzEi2
e16jG1j9Ei518Y1YYaf1i17qKVXhbORmtJF9Isk4E7myqtkDksut5+sczK+cmPCblmpw06WNAoek
rnYJUvL1ZHXTzyAsh1WkxAotrTL/Eqc9nfEJLR2CjhTMAGBnGiVPdMP4PrB0+wEijGXXC22d43xN
hKtcmIDamf6NoCwXqTCAacvkhrJdpjWKMGuBOZ10CPnmq+GMna671Q3pr8UTNCzMo+sWfnPgm9KK
60pTLtx4CJ/SqKtLy26V2jWZYUWz7iwYKRhQfmQOGFQvIxEv9rRx3SiB4QNbgc5JC/6aVQlHMHLZ
6Mw26wFOuMobdUI9OcOhDiWp7aorEuEY1Aoy8vbpaHtS9IRPAqo9TvYSk2FysI/mP92Ao4HUmBzG
UKhMSOUs/eaIcSEz0TV6EPhYw5XbjZa6SuNoBPFS4r9Z5E6AKFa3lPJroJnjVTbWyvIYJtQ2Huux
21mkgWW6WR5+C1mpS1bNJo1bpqBj/tAxyU0ZOUeRnsYWzu5n7a6vTD79LsKIbo7wkraWllZfKxLh
+NUcRN7E8BQZaJ+aWOaeiB1Mt6Ba+eajpsq/WYCEq19T1Zuk2DkwPjOnbVZFYg4/SRCqw6WVKtYj
wh0YzpHXbLNyQpZWjGHcSZ109L3p26eksoyVZcZhuAwmpo8vGdx15Taeq9LYggZyL3pB6omd0V6L
hqHeJoo9rye3qO5neFTOwnPM4R7kbH5jh9UvPZu/jAQwXqYtMETmVel780S3MrtKf8ZxFz7PcTzc
hp3Dm+OLT1Y1cAdvYYbOAGAAjwN9zqxx9kgpmtIfh4x2Z0Pi2LRM0SkNW8Q16sGsy+kcOoFxY89j
jI6KqrK2sHkL6B2oJzzg3SZoAN5Udj4KYV7O8ZxdUnzrbvLYreECas0Ps1eyVdnOxvfSs3vcZNWs
L6xAJwmAkEfiV+EuLQYItzCo64zpwgssP8ldcz8N/fegUobboQ3Ta63r1HOi0q1v6WCn4VIQw8ha
KcVWNQXmC8+c4nMBLWGvEA1NZGQfNk96PFQHsLdY5mLql7TyFay/bQOrXGPKWytsZpGoaLqOvh4U
xLiOssK4s9OqgjFJ27WKo+AMCuJ83UZI3TxwY1+Jg6+7ldo0ZrxHQztaoL9VhRimYHDTC3tUh2rj
RV2z5ZSrnCXOXN7DadQ9uutdXix0xVHTbcfguRhY4X9pfd2cd1XVb0YWwkORNEQeVMBKiNvWOF6g
hK83ALI02AXsLJRl2Dv9daj3aISLJIDE2zDlfU3HFujllFlnY6wzjRoYRdpljZJy8PVc4OzPIBCf
t840W4vJqzUXhp5jMiFqw89St7tg7SHWR1kUmjvTrPUVaoN523ROfIPMur6HJ988uGifV/AF0uUM
YWOROra5MFEvaotxThzfqAYHYDk25Gc1b1mHWnXqlwENg8w3eVRX/cw5hUKsI5ZWGcSXuuqM96oY
lHMrbgm1iI3aWLsUzR16C4VFu9axhmWJTL3ZdIzdXyjBJNTEaH+AcHGeBxvxzlqtsCMvm0yz8LaX
GR2MAJPFL8Q+dewL6BPdFnbfLysawytsAkgEZpKR98YwohItS1rz0RjDwob9Jwh5K6BjZkOy0lU7
aH0vZM8eQrDA5R+VDkK0zmwBBHdkKyr08L9E9kR6oRPOyaUK5lRdBJSFLwsvy9pFgXbzOiLVfsma
3Wgm5N8jPn6MjjD546Hmv7XQT2uhVMlenP/eiK4f0XLGRfhKH4ThlL/zl+paioBwgzo29VBkODJE
+K+WqKbxn5yXIqC/WqIysBoV9F+6aoMT31+FUFWKrh1Zq5esOOjz/6RF+rrWQilStai1GNINRncU
BdPrQ3jQDRBVg3q46PJnKD+YH76/eBrvFD658ZdH0zcXOKm0itHI8mrkAm7CxEnnp/Oe4v4i9oDf
Pn98qeMx/sWRkjIY+nUU6oZB+5nO78mREjWdlllsk88TC7dPwtZUQS8F/c9z9bS2vjXHlkKEyrRV
N+rvnkOJF4gOBG7GOsyfSamQqpAQ9hsOs00gQnXDUtn9jNnwxvlZJ9AhmgeVlWaXNV4SiDuXIFSS
tzBT3011u6bAY+3JjdaukrpMYg4QQQ2aEjoOPhFDkGmh9+R8NAjXDa/1rSyvo/S2xurRCxJzC86e
Pr8EAXAxeXVYGTsdEn8V309j1h2yoO4kkGjKhjXE5MzIDw5iHJ/WK8GjWmoN35RSBbijQBhbUOQR
SwyApnFpKk41H5LWi5TbAWCFWawMogc8WthtmrRjIFm08R/b6X9njU9mDUaVjJH6zx0UGXS/fcqr
BrHVz5dzx5+/+WfucI6gb0rcpuyl/HvecAjHsgAsMOYkM+DYXPl74mBE06ZjP48Qg6/h74lDl0w7
/rhBERuOh2r8PyYOgrgp35AcDtGO34KT3+uJwySROYRXOsMfsUihmlGX63b48OKhvDN5vK7bgSaQ
F8E/Cn+B+3zj42/LXqlweM/bLsXGhmqdKA+nd5YESberjy+F0OXlPHW8FL0Zes3kXcn5+vX9lDk9
XeKj5+3Yx3x77JYPug4fSCvR/mXYire5JjBCzoRUeu5UfnL5k3mYjDuMNdSJHbjuvLTTCh67btca
bJ3deTHc6bnz6MaN//EdntQlf1/CYmmi4IYy4bTgRuFs6tRAqzmkDHdsZh8aTyuXHUXMhTrXPz++
GKfr0wcKCIFGHYpY9usmKtTXD9QIa9MevabZmoNR78M016pl6Sn5PrVoZ2e9eW8GQ51zbqhbdWEZ
hNJybvCgSOXYdKjHsYdbOLSQcJUmbrrrBuCtVGJ6j7hyOPTEojEBs+ettWpY5GCNBbIc5Ga58V1P
hg0d7fZXQSZajO5P1R+mxsPlOHld7kMcNS6iuvN8I0o5rarT+MA8LYiMDAdUcehU0LZTDb+zrSx8
JJCV7XkujGvO6NalxebzxpZmnd7ETwRyK7zo+kIj+pqjc+l2WC5gSa+x5cw7WvLnXaKgos/zXybW
oDI2f9ize90KnBiD6eb7Sh0JOcN84+WJvVI4iC1yI5lJOp3ZnNdWvBSF5ltNMvzkFIgmPYkuKYcq
fuyV2M31vFuhabEvxhExj6fYwV5H4u4oWrBPoph9ekN6Udz3GFEV726kr+tPWpJczF4d3rW2mS07
FyEO5w84XNCjxyHot3OcBasEctN50ViccLG/BDBWDlao2ulqEAoZWDT3Q29H074b1zGn+bvaAecR
UYVf6i4m0Qq6nwrykmS0dcEhzr43CUV+jNJeXKId5ue4mLDvSi3tDyw+3RZGJxokIfAEw16JDkFe
I/YkB22lF3W6BnHLEMlrGMNlOYFVK7QVmbv6moVQfTDL1CXspR6XShTr3deOfCcUK+qknQGUC+8I
2J45qlHyCuwchlVtN1RJYwmTUkg9DYJIXFdzIa5y0ZyRFW58rWe3vTM7I91Ktey5Nhr2Ni8YC7Bt
43XXFuOmyI2vUSqsaZHGXbhOHGPcmk3sXasw9TeKUYlzTC/lVZdNvg6i/ZyAyqpeknOsrsVArRnh
MkqdGAPOQhuteCM8szvEwZAuOOjgZQKaHwQGCICgdbSFp4Xfki6NYClbj2OPRSUPCK2thutqSu8T
jaByhULixswLjsMNQreYLiQlKOi9kPi0jW5ANQbZnW2nvCVtq2qQSFORwikbWuVlPrFuMKKBSFB4
DdVrI6inp4YthcT5oZcLE4UIdVvfkF4XYbriGMqBGt8qUTOOX6s1V0PHTPnJUxTMOjq8kYBA9f2o
uMFXN20L7EShtwmDYDiMCbFQjnT52J5C2jv1Vb79HDa3iSocDDraKiv1FoadDftZj7QzySZeB4nt
PZRlmaC8ikmZdaInQhkePY2MibBt1Rt8RepW741vDu9VcbPwNpW+HDRxfNvxvCdTmUT4ICVMylRa
n4yV1K9dYHn2nJwrTV1dJ2QL+Bizn+HXNe4CatLEETzsdwEc7ZWmqNfj1K1bWNZUU0hNLwHlk5jG
jw0Du74XmuLAmW4Gxa9qUa47vTSeOEmnWAore0WieV2Fxp1lVd6y0FJR7Aqnb646pTKemLfdXZwP
xkbVIsRaRy0s2dbYYcxqvggy6jILAw/efam52RkT0rzToBcuUEARxcvGEtOBQvk/IFquCkhqUKMz
0s02EQsAKRsqcvgwxPOf5Vpx0eTuLuv1+zSPsD0GGgkArkAQ7ypEZpClQYHfPQ+D9GdAAgMw8Gbl
dLr51Klm9T3pjP6SAljuLSzCmX2mBPsynhBqAcHJdnauiy1g5dQvh3n4gnHGIMlGcGWVjMoJkyEf
0EIpxuSXRxH6URtq9Y6YBPMaEoDtAwLU0FLnCaUKKzPYnkbtysaCzndij895PoEHr6WHADdhKpzk
wYossO9eXGbI3TKE2JTkliBmjsnM2aabHfMsM1DaYzCbe0R3rrLV2Nks69r54RB72S560nv9OrCS
nZu4zl3WjNoG3zh1fd2clk4/AWpITWIUbS/adjFdsZJkZeQOlnVpx1q6jZQw/OZKfXQ8bQil4/H3
0XivMXP5Os5btItTdmdAdFxyLquAgRC4hx/MXtmAGB7bKTW/jTgzL2xhz49NYfjgYId4kVRCXHRa
1a7TPGHkTU6C2SITi4wGlc/iSWZaoy+CWqRrOwyaHevjQMKfwZxRj6VjH1otn/TM17Om+72v+O8m
/5NNPgE7cpf4nzf5a2IG4+enl9v7P3/nL5GU+i9+BAJlRBzmn/zbP6UBUnPpJdrs44llgmMkDUJ/
tvgGRQPULhzW+QVU/aVISsfFrRtQdxi2Dj1Vz/onW/yTrjI5zwZHQzbFloQHqTJl6KW8JBxGdXar
stvqOpscVgDkAUt6l94Zi6JHp8MSxVlqd0zCXvRppjY3+HJDjgccWJHs1kNahGN3qlWoa+i8PfbL
zdDp/cqZSCDXYkbw5MT59sVr+fyY8ftSnqRoOVi53pxlhEGbCIBWuzE12ucYGYeF0UQVVket/mQT
/t5d8SgBjjtoiJCfvX6mszam1WSa7YYGW7wh/rT2BRzZZTs63Sdqj5MTzfGuDO7JZNsk/fQnJ7Sx
R1+dWTxAL8ab3U/6dSE6+xfTix8WgVx5Dan+wLFdqWb5ibzm5Dzz5+IGXX5GMT78k/tsx4htS9W2
G6U07YVMKl4VhH78IwGUxVUsSmq6gxbLplh2yvlqQtdo+jro5LbJFozNomkX1sg+dJVU+acKsJMj
zfFylJioy2mcvcGRvH55Vt3r9NTabhNOWEfZ9/10DP0XHbV8wUqFM5qS08cj8+1jtHQddBpHQ9yK
6umZLYjSZKDc3G1ghFnLAlAHL8v77PB5cjI83pduIsgk5B0xzmkR0CS0h2Zk2m2MuJ8wBSlnoULU
I60L8MZQPD6+p/ee4surnQwNah1hHcJv2bj9wGa8jBdhT7mrwtTERsprFyJNv398yVMw0/EOkaFC
ZJJVBNR5r9/cFJG7Nwx8dlpkm5dmaWYPoUr8qF3O7hbWPMyb+ob13V2S+EEHv1XdPX21bUfE06bv
vH6FqHlYiMGpfnDOUnYT/FI2TG19O4sJCktEJx4Q7ycT01EW+qKiKX9vg+xzVdpLJRP1ZMS5DXvt
suUzigfccABeB8z5tIX6FdtrFfeyBoTVLQff4OmtcCOY39QZiUOHX+ACQYmxpOfiXWougvKPH6n1
ztAEg6sZ8gu3+N/Jr5Z4mZ3OVtYSGROtdDKK/VhE47J2bYDoddjcj7GRLNXBBsBbZhjzxiIRZ0iR
2G0jPqIxLi3qZkOK51SoC0Or2G4WrkpfI5wOYaeLC92elR1IECqifdv6A9bvZd1KacgQKw9t75JM
ZMQ0A6lursHDQT82hIvuYNy3CAUWg8I2kLx2Ak0z6xCZ6X03uA0JSxNiEQPUsDCwYAxKe1kSNrmt
Y4yPEyktC7BktOaiSX2E/E0uXIHOJYAZlU7GTQtdm55pmG6BV7SX/ORi/fGjffuBAB1lY8BXzxoM
SfX1YB2b0OqsQb70JrqgsRctqT7vtHi8A/RRrbou1/7xJ8kVpSSLwgR1xVNepifGHlpy2m5EEOy0
xpQ8gB9eYZ4JA5hQ6tlfPr7Dt6ugK9seKAyk/pIy0es7bEJCM3k37SaZMoJuKX7s2K8aK1cXk//x
pd4OU3h9AGxUzD1SaHYyTEMSfZOhL1kF3d46kKOs7cqhcz55gO9eBe832xTDQOpz8spyNVDyduAB
KrZQ8fQSQLMlNtG9+vhmtNcCTrngcTdQIwnjwMP1RsiYxsjx7IqG5ThqpU8PPFkjogzxrRQlJ+bG
YUvBwFfxee6F+yj0cFOaafzZtGTwfl5PSy4WPsrMMPbwl5gn76+u8YnHvdNszDFzVqRwZOtgSNq1
ObRAdAxzNndaMXoroZY/s3JwbtJWVuQstT/P59nYW2n5GV1Wf/d3kigi2mmelAK+HlOhqShKEBnN
pgi7gmg8a+WpCC7moq0vggaKTIRg4WuGpGKZEe5wiVJoWtqxqvueW5S+U2Q/M/gLF2RUcPYdvlG1
05c1YuTbqehAerVg9iCVDftiyi4Utf2Mmvn+DXgQQQ229Hz/JwXTQBNePrkDD5Xs3lBg9+4GM7yP
mMWWFUgNP2g0laBdu2XFEvl+iuYnymx3jbC9XVcRcT66osc4W3rXJVkLdyirfs5WUOwNN/LWQxVO
Po44hbWizdYiRsjzyeiUr/3NsHhxBydfwdBm/MKAZjeTkoR7pIzFvrVGKkQKUVtgeRZGRzOOoiCQ
E3r3DWkSn3yHxrujAIIVCF6XyvXp5+5OzCXIqZpNAja+AmnsWt/ZVl05+PeAtKvPQF/GRzA90Y8G
eHzXh3T1dSn5g5eLrGOtq4hWBDVtWRscsP3rXbWMuOBmtChXQXLRfk6FpjFVOreEMK4s+Pw+lVWU
AwgMsSirZ4qlZdu5JDO0V29tMPXL0NS6ZTV41FI/fuZvt24uHgA6PewQUM2fti2QBjvgDZkQ6iR7
LOji9UnmK7MKvWpGF/Txxd6Ztm12JJw8CYNhr3hyomggexdSeLMhxfGXF7ugerQ+WRDD/plgW/6k
k5HElSQv2pQmltONfR2EHbhFi5EkwruU2swjVEhqYPnEacKa0oyCpa24+8DWok+G0Durr9TGQxg0
WJje4LEhEuC2TyDwdhClgta9GhHFqmbwC3HWd4689icL1HHv+eZeLapy0h0ANPTkq/F6pRnjmCHL
Mby46Qz2PRMauqmI+qXRzz/VIL+D6Tj64VSxuTFd7CagcnyV3crH7/fdwWTB93d0A4fH6bIcw320
op7vd3DJy1Qrh/jtKMA3Gpdo0aLk18eXe2fRRBMBhk5S1t9yaEEKpdIsyEsG/rUJ6RMs586NPjkj
vvt8wSwjb5CPF1/J64WBZKeQvEnUfJyRxdIFR0smJXQ5O3CV3dAA3Qh7s/OVqSYqLgjzJdWAbDX2
ClGq9mdz5NtDOeYvToUcymmLvWkzDlNnzVEDE9boW8ysoROuGzGfTz0BqWGuKcuqyanVYk1ZlMiA
PvmAtfe+YNn6w8fj0Ls9HWstphLdKFSxmYgy+V45AjXXQBLlZQOVIl8Mdmnby7LjB5Az7NE66+06
s+DYVoRoAgiTObvKNJz3kUGnSG/bjkJmiKT745Hxzq/pAnC3mWMc9jmnvi6CE+PJKux6g+xTrDsy
d1YILb0Ve/n4k0fyzqXoTUJRV5HUuIjFX4+OmKYJNXqn3gAYpUNHguv1XEQ5FDNb/T/cFntQGsy2
LKm9mdUAqqJed4k+tfRYXKPJsdfl5ASHREgA0b8Lje9UtN6ZxLgSZRG2iA5FrZMxr89BCD6NK8WG
GvoBUWW3IDt0ZGcNwI0xR1lH4twn08e7j5LztWnDGgJ5dLoDC9UCfYlVbyCS9LRuRjzUSY4WWkXH
8vH9Aap+u0Kw08DeKJERxlFV9bI46aY0cUJc9hvbFOAT7AnM8TKOzIFE5jzA5m4LZNg2e3LaAUY/
KGtOjt24muGm5te5a/FxxcjovR225OxBr3qE/wKIQOdXWWYjOA/q6ImcR+U8xVjUrMMoA5reIApF
gsstGUtM1q7r446AgToYKsRaS4m8TTwJZ16VpgBrB60YJGunY6IBXGjpa0D9o70ySLvRv3hor/Kf
pKKaaIMqTjDRAVS2EfgCC3x032SlNu2yguraJsIFb64UtdJAxo+jsiHkvG8urLzo3HMT7mFwbSN+
Ktb8u4I0aBBNOsIM8lKoASjJw3PXIYHbhypcJmi36+wW1z6tYlEoJWF6hMgsplDopAJH8UPeYGNb
jJ1ZJjuHjniFProEqD6lcAVWsGYKcZb0HCeRFdP5yja0ujyC1HsLNF3ZTwHWAAUoO3WHvNL9Krfk
5irGpvrkNAH1EgcMxXJ2zVLcVlZM2mvZNsl0hUukvy1iU8AjUFCs36hlDnunm/qw27GJpW/mkhi/
NosQ+qBZhTOi/CbxNoVgiVoRYE35T1V0cDZ1Y7n3SVRL3EFegls3ox6zQ1VZ29ztrqnzrrveqh6D
Ss++ZOS63bSFPeAoQsSt4C5aGbV3Sdd2XdTNeoyc4iZwKKKaEcwl+Iwb3UzJbfXSHPJfvzeI7Fjq
VfOUpIhWrU4P/C4ZjTWJB88mmWIr6frid8AkYDeDuvLAaW8IIi8X7JghGAIwPDRmNX53WswhJmlG
BAv3T3NtW9veGJFVj9MCfvEDdJWVTazblYUeYaWpRXyVGgO8bIjSBzfPonNj4H1wWiDLFkvOOBvW
xlK065iUeWgZY7ALgCMsxyTt2FQQYp2xSvhN48zXkJ92dQuuK54ni3+klynVJTwQYg+hQ/dnNa1X
I/Gvi4S0w2WK3+UwGJEf82avAte8yZVoXGmDG63nWczLSWk7TAqTvpnZut4EYVZ9K9xGPSsih059
W9v+qLbil63UxVJpeyKkKVhvnLK0dgIhyMIBobUz1FjfNZMDQGHs9zoOg9iqtHVqTV9ytau/FHGw
RdNzG3fTFxKCCuwiNEPRJH/JbSUUfIG0OPvOKdZQEwJ/thTMKW6wbwID+kZYuis1Iao9G2qoRYmH
wIhzw00slP6qDoV70xDjvBiM5qydAriYI7GJYNd/NjWgaddoiSOG+ELah9v/MpsWQFk8EGfup6iI
ZkJky7qYDY7muipIUSMxuL2DWgVhQ2fwPOaItEbfAVWespgySRBiPuBFmdMLYrxwXcpcM4h/O7UL
p5VStuXa1mb3wP8pVyMfxCrAfz81Z0gzwqH5OkXCacj11QNzAHrS6OIrptM1VjcXZYDO77xxFL38
MWLKqLZGmumdn7vC6RcTqebYmhS7TVBeuyJcZFNv4WEkvxyjXVnHWyF4UniWisyf3by/i6jqX+kZ
hsIABUC8GxJbrCwvri+0QXcx80FZhLxGMS6KG/W7Ld1TC+q71cqZ1exApr340TZuaK+yiUzoZLBi
4wzvtH1rgmz/5VHcJ8CRcFQO30Gv+oQVjPf0mfJfooKDg92r0b4VIyFlHNEAQ2GM+xp7SNKbqJk2
LTuWO3cyk699w88hoBErSavX+5lIxeWR4w0doHmkCkcbJAF6sm57bM2LiDToL1Ho1j/qCgwbuX31
F6fW420igjbb4UBJ1zFGn0ewIRPnw3KAkh7g7fK7ueHjyHTFWqaqmfqhbVtLogqNXVdbqY81RV9x
KvXEOuXclKPXxmuyaOOwf6iDgWw4F/iku/DCISBUUUWAtMxpDe6qIsrkGFSGfegl0a2awz4rHYHy
peFxKg8FpAVU4lXqRQTCzvyqdto/9PrYDTTvg/ASx4Trl2o1n5et9O1FZNNURoVVVI3t277VLYhv
k1PvbQAsl8nQVN8o3ekrCmfWZSj4VFcFsZnruRvT9VCOZr5xHHSyWVZJNR6d90s+opqPirdLEb7e
p7lnXkIQrr6LPhTX5iy0uybmecdJOm3mqZg2bsRDxbw/HRSG5nVlieq7JU+Yy8Keq95P6yTe8GTj
rTXm/FgFXIImzHpfaQTQzn1TfW+nSnyhwa6TLenUP0oJ84c5HvFY6yIP9iHViE3ntc2zNzTWpUma
+bDoSy+8HGML/+NgoyN4nhPDdEdW4MEwIc8MWjCdASrUK3/wkhA5kVvXC6jPScEM1eGdqEtVu6sw
Tl3GOA3uKyDGF3jXSrxjduq3ZFJGWDHmQFv0LptIqzN0lCluvZ+EGvih0vUHkXPzpodDwVUS5sUw
iLdGxd+uVCW87LzahkjjWuzACyBXl6ZRZzuRYnhdtB5FHB9KVbAHPMsfCHoCgMJwyFoS/qqyW8x8
55SxiuZxmihag1PGqx+agKaCKdtpRNcxyruo6ui56NZtnEc96inCt5cQAOt9ZqnpjduK6slIIvtW
8eY6w4Q2RJeTnSNza8xCfMlq3MSYp7sHtRpT0kB53boI3LP/Ye9MluNGuiz9Km21RxpmB9qqeoGY
gwySwUkSNzBRojA7BsfgwNP3F8qsaiWVLdnfva2NzDJNIojJcf3ec77j5VZ835LzcLAKY96GGL/t
iCIjvXUVVy3I8cGaiTF/M5c62xna9WA2dkF8b1cgHFozlde+M/ET66W4p2TXTyCE1ddlGl3juCBR
TjfwA+dvoqHNt4pRpl0o0ZYiEBlZNUmGBgEVrOQLxIAMMdy9m7LlippBtfOhGtFWcO48SQuYWJZe
3+VJY81Kb+FL1YD0rKW+M5ycJi4ia+61qQJw1r5TB3IVoiiEkcieaTSrfNVWU/vNqHPr2U0wm46T
st78MR8QF9m6BTNYLt9qnGzoum1JRmSXe8ObDZsbfibksb3RNFwWny+52plTAQuS/CQcrnZp3Ic9
+caZ8Mc3zOvtuY8ljf/Wbm76cW4+YZFsz1YfJLfIjYgoCjGMZlieDqxjBKjOAe+3NJL+Q5tl0oSR
FCjW+LqovENNEtQ3KmpxYk8cb5shRm+IlkDQN+0d+OSxE7wshNLdxNWFnVSW495FMHdo+WxeO52L
Odsjn/jOd1WzbaSrnrpmBC29pN/6pOZ/qaZp1vHYOK9emHhkdOK8a9y5XuPekytvxBdtcb0iJpru
uug73sPeqfAzVyRCUIRMpKHm8bNdXtDARv3Qh+5pFCyJ2jQz9jJdt56GML9p6f+YQzoe86ohGkFB
iTcnqLqpIFLZB/a5I2fDOGnfaG7l7MUPfmzXh1Aj1GPRBXdlSYaNLbyWAwah4zjP5Trj3TyZydRd
y0TIY5KSc0mpTwkYMv6jhfo59MACF0JezMOj83Us3WObmRZLWsAfjmo30kfpqnsgCzjcP1Bvm1BD
df0aTpc5U91vUzrLhzauBdOylIKUSNv5Q0CkyT2JXtNW6GbvgxBYh0Q6ow1s630wLZ/p/1Wfikos
gm8OFwkaNuoznx0ORkbsxMBLC3UoDNOJxtgAOl+5zZbcaQZf1tCsqVCnO+jB5g4OjHoYWlxlzhQm
94PiINgfxd1gguuiMT3jniYlKiS/4xkgVrnPMvGsc7OCZpXgBjUp5UhnnfE3ZVN6ygIaN7VlH2CJ
Wq+pGU/bMTDMXQ8LHbYAtO5p5GVUgBEiMqnDTUKs5xXFhfshdz30Vbre8jqxANck10SJ34a7sAzD
b2Mx2B807vibsAovXNbKfWxSnRNqG7pbj7XrqopV+WxBlzjPI3fJG5Vut4K6MOr6LtnAYG7eFkZN
9qpJ+uymhUD2kEnk3JGhJfKrppnTiExjtdINFGYGCFG49PZqED4FPTDrz/msiyP53/seNl4eea5x
XaNxOy+m/aEHZUoWcbvNLuE1ETM2CjKMzJXrXXh1NWWGO24LlsAcelaf3Qdmh66X+M4rhelkFZvp
JkU7F0F+9W6rxqvrVTqFFkOLcjnMcz2eLjpjSY1mFLxwvjw2ic5vy5x8q6jNF9JXug7SWlQaOa8R
M7TxhO02/1jZrr8jmgn6Z6exobak4QFyzQx9F8ZOez3TzGZXJ0asxUOXF8eQcL57TxBqikN+H494
3gNVnEru8pWSk2DVx7Y6M+CJ5KT6a/q+MymB+Z4I8BD7rxOxz/ncka2+qlKP/JnGv8DWyXqJxrG3
PurZ7Q61LV6txX+Lu7p9oWItXyDqYF1WihiE0jO2DkrVTS+G6jz7VCwl9AOG3mS/rBIdp1DyTb0f
bYwvR8OpJ2KUhKnEXhSgBVk0/PrWmBJwAxLB9i3tmxpNI3nJNWMADOw8o+SsVYQ4nO02wJpMAGYZ
ZTMLaJ5O/ddS2earVHn6tY3NBbQjEJrbFhXA0YNF/zDD35k+dlQ83LeMTQ78cAR4o0GwVdlA9liI
KPrE15Le2VJessESGpIHVOz2I/UxO1NEli5CeK2+ViCnvxJWQxNBzUP1rXAlXYULcPLFVLn1inGV
L33tEuyuMPO9wKdgE+7GmQHmdonVV8NrDETSyxiKzVJ48qFsMcRHKtVTvRVJP9ZbN5zoaAw65fFI
7YECBwZs/ZD6Q+FRY9bxC/Au/k3YaFztIg8Lb+0C0W8w6899sR4Vv+Um95BLrSUqLcEmRnPQHO+Q
usoWRI9rZcoR3ewEZTfZUrzykxeDuICDO9F+XKduOBs7Y76UAD0TUkK4NeiFPDVddLtdRdFaxj53
yVj41K1KPcQvYzcSZQA+I9RAAr3qmz0MHHVoHXg0E062lz8vpjcixY0cxpPZalEkvq+Eteg6Yj9R
7/C7JSvnovAmO+LSFMArIx889GNyV2Y57R6UBbgLZKGLfWPRBbpFcK6tbe8t3tUMJ/jBm1BUcAuZ
t66muOX8CuHRD+kas8ivFCqGcVfNCD9O4diP30ZkyLxKttekJ9+w0sdiHu2dHKT8UFmhOBcibMFF
N4H5OKWNmveaNnx86w6c9N4egRPSanf5rTNJlgntLC0N5n9IX1fcE95dev/pvKYvw1UcjZ6/v0hb
fc3YvWQRv2x4PatRvWW5ystdOHRwJIawyvIdia+2XpUm7w+wKs8EVEj/7zhlyjAhKPdUdF7qNvmB
CASaKB2zlZzFJYPNwDvFhpuPMN8vEuJN4oFkMCCrsheNGzsdHXPVXkrIkqjwPirRBj5ZuWlv4I6Y
R2bSZMBWg3OukkBfo2XKnpclnZ5ggo9/jsH+W4P6Gw2qgwCUNux/tYZ/sqc+vkmaEert7UcV6l//
6j9VqNYfPl/IC3Hru8z0LwVqaILyvYwJEGEyVefP/6NA9f/wA9RotJdNVGnWZdauLrD8//g3x/2D
+fslLAg9JYN4pi3/69+/6P+ZvNV/ta3Vu//+H3Ko7upM9uo//s0V79q8SEARiCB2ZbQJPA9h69/b
82LuHIPUaXkwwMNazY5CMMnHTWxME2tKhUAJprywp+veRlNeUeSvLaWRixNhvm8rAtFjL1bV5qKn
uFFYkh51YRYb5v5ynSQ+89ipI4wi8fVHuG1tu55ZUj6HibQOdmNijQnxiLdp4m6wX38dZNMfKDSS
nYcneA1wt8WRXqSrZUEVOI/QfTC0uXXEt4BqJG0rnPEBX5mcdBC3aUkh61R1gFGxbNl5bwclxBpw
hbka8yy5tdhA7eWclY92Csc1GpULNxeBZf2RGq7d2aOxHPERYL3AouG/kpbSpBGb47IliCJJTnU3
90/YOQMQxYt5P0ydvZalOI+DFZ7M3GnXQYVAvUwVdY5TYPMRMAqKrI0h+jMV6oCn76cMyU/nzOe6
qcWhk7bc+gYGCLK8rFt5MazLYu3VurjD02HQy7WLyJqnYFMmik8tjqWHznRoxLWuuTLBwl6HuVYH
guGMfYx+5egWqXEsFTsaXH0EwJAHAn3JrE+tT8T4pmWHlUfTNDxaWeNubMq76ySuvJ3bWNXWbh2P
n6qWczPa6iQyI46oEx+RwegvczFgr5hycotEoc4Lo/EIAmm59dGErY1Gz/dulovXAcJMI+cXs8rU
zmqcfE9li6nFDuPnMcjqLdRX/ytcrGI+DbOdn/gQFYTiNDpdkSJbbWi1jussDQIIGV23bX0bUxVK
VVo4nn0B/pfwErrwNejk9C2Z5nC7QERGXUirbMN7Q5TVPKnyes6bp3Sw8ic+mvNnw0fxHcnFM09G
jSmKKpoxIAFVKWwV9MgNbhSoijFf1qVg+G368pZOUn0qJ+sp1UbTRwZk6z3d+uJM4qhxDEhcugXR
EALcIL8uakqXMjezjErsB2PI5i2DgmWEm+MWcBcGPR0JLNnm0ia7ZNGds+XTEKxsqwU80tZ2tZ+H
IIeowwcWmw4pMyt6iADtaHra67wFNaSsKou0vVR3bJT3oUcYVzrI9tT59md2NSK+bp1Sp1ckPH7w
s07cV7W3i43AMg4qG9zY3pU9akYRjeEkwy+LS4G2SeJ5gW+v1Z0a7KBCm+bEy7UrBz5I/fDkNdq5
A5CdwikpC/GIEirfAC2xNkkpw+NUC7uKQvYK87ohuOi+oZAhlw76frJvXLA6TzaN+EKvaX2QcbSW
vqjFEedboAxyuXLbJCiAeTFcyWbZxn4uaXXilTM/LWk79SuzMZKbdhb4NiEa2m23gVFknZFADfFX
NgjQvrMljFjhgNi7hrsxh/qBJ9crIC1XqJTCzrXoyo8l5ZfZh/mrgJdi7AM5msCR6hIKGcbCgaps
6ChwY52SajNhOHyu5sb7XDBD5UnB65YcrLQ3x0i2k76TvXC/zq7TFzs71iQIibkVRIYaGROS3iJB
bSO9gkMuZdIB5NI0aBiJYUwsyAvOI3OiRcjaxxH/RFVB1ib1B3NLziaTXmt9S/C6XfurmbwBp78q
yskz1zW23SgRWiQb2jn+LYpzvfVcQjlNs0Qv0nlc45VPm+2xnAL7iqgN2jdF3bXmaqnCaZejmz/R
1GSjnTH8YnAWr72idLHRD44g/dROd8xHgl2ddsWdtMvrJSH1Luosr4btfXEONo3Y1lPvplQlgbgk
A2VNux7kQEhR7tvHQHTMRSQTuqAHNm4lfrbpEhTxW1Nk5gPhpfnGt9VirZzJMyLfkPJGpEN9H4zC
v+n9dvzk0dqdI9sJr2YnICQRxva60G6y67t+UdGyDKUZVWqZv7Rz+8o3qruhfPO3k7hELY0ZEQ+2
2ZoPTDHjrSYq9slzE3V2ifvh4yBLPDxC3dKwNch0mM3jKM34y4Jn5G6OYdkIPzmwdMZ7tkPmx0JY
2RorVvBpJB2ypty2m33utfqKhsFyQglAj7CFhN5Mc/6S2o519Np6vHGhePeGZNrXm0u+gspsweke
HXfD7GG5Q6ORb9Ii3KnywguCn4XyeRx2l8jHnTdWHqxxawLUpcjWmsgWuRWgGfJ1p+3gKnNY4kOs
CesGHWk0cfwHjf48si8z1ATN8B35TtNqXC5A8jxMdj4ncOnkjBCSJjdlaVzcj47Twv8avbD5PILR
OkGUst5GPHVbD4HzpsBeuvdV63y4bOk3dlgn6wYn5JYdcbPpZF/eFObUPg+8h6eBtsCdx8b4GnGq
XC2pzK8LAC07sl2Q/mGmW3l26e/LZXxpAze7prGSfojrwbyJYwvhca58KoFqIcM2wBVZV455ozSN
2FXGm3/nsXveIUDvPjNvxXlLQ5fxXX/uFD1sGg2Bf6hCFZIqly5XFnEzr5NK2qjRFbwqjJiH1Ew+
xJ30V5asMF1KgRDDmJ0N+L4uiEzL+KhlbG5c9oNgbTLzyjEUQSR8/fGB4jddu1bq5hHcpCfDHqDw
gVxSJAgLvQmNCc/0qH3SX5DjrBZs7LSXExuLMHwyhjNm4VtwDnnvg8UBYTt0Y79mA+t9ti+4P+2m
0AppZiDE6jrcQLxV/pyKB6fLg4RPHsyJJH1U/txk5+9F63/X97+p70GwXcS1//f6/vQ5k3+r7f/6
F3/V9r7/BzpdPPgXjf4ldwMhyF/1vcBGFmB4QmbC1yH4wWDmij/ci90gQBSDnvkCivjP8t4lqoO9
Ao8HHiZUclAu3pXzvyrv3wlG/sQ7wErF+IjDDMrF34v7mVKZvBdj2dfxZg433nwK8tsfrsY/CGF+
PgT0DA+dMjsSNirvudvxNECzt8NlD003KhZszTONOp9L+l/X/P/hKJff4gcQM/lReDJSjiLkizJe
av3W/07o+bsTeSeuEVntStgHoDCWszDPc0aM+euvz+LyI34QIgKIsBElAWSFQ4HC/L3o0telLUcj
YNPuEruMPoRuRFOfqwrBUsrI79dH++mEvh8ttDCR0Lr+ydoitKd7Qtm7/VwnHmMW/sjAa7OLaMr1
v34oqECXLSmU8p842abyG21rixNLg+SRrjzjPER+J3ZexW+ESe+EV9+vIYY028G6gWvzvQaKDpg5
lw6Hkh0RI0XZF3u/y+dVrBdN1JeudvVIGOW/fn625aAcR6xx2TD//fHzstiyDdQc+7ngKtK29iK/
C9yIqtr9zfm90y9+Pz8b+z/jXWRs7nu5XOEYzdI0Rrev5hQ6ShkbRK20QX4obJPw9rJr+aZbGu7h
kp5obunfHP+yJLx/RuE7sWwBYGdper9kJG6DGz9R+6AyNH5wTtBvp6dfX8936uPvJ0keEfAS2DYo
EO2/X0+sFf3ch9jX+761dmJKcWAnwolvSpv22TITDIcnDD1BV3XbXx/6n56fi+/XNtEDhz85K8Ba
aSshTmifT8W8aRyPBkBOB3UlDJNdvpOkEPZSUJG/Piz7yJ/ffmwlLidLK9elYf7uyirSjPJkBIxM
Wdx9qcGZTZvMnOyNmFh1vLgo7x2TmbpZDvHRUeaw1crhFuR45Gc9Trus6bpnO10ca5UtihqwF2fb
q0ZvnY56ug47oBmkzZprp9cE2pC8+oD7YkgjUQ05MYN0qEUu6K36aAqCunmpgmadBwHppLU17gc2
rl7YwikwyE2E4ULrtWR+ExXtUEfsJIEsd0NOBVWKKzNY/E9scmlupt6cnkzGXVclnLzVYhoKzKo3
wrFAfBzBNkTPMhTDNe3S5Snr+c8UdR7Di/aLD4nnGGcVziSjHam5l2rn2uraLez+ScvZPU/xYO2M
QcChpAo6uBWBOuVguVtVsIYyyrNOgQkYGImBZlesx3sHbP7OLYL+Wiz5vMGAyC4C0bV1wjHLp5A6
eJXUQ3qO83H6EvbVfB4XBwahH2segzHneNnyNkk//pg2DG/WVVguT/6E7mI9URp3nUbh4tE7+ma0
EGERe5X9c2hfZhba790zOaT8oMsF9mCl1bNH77bqK1LeZs9fV03cX5d+7CAEc5MKhZEUzYrfD7iM
14vVUObGTZ64bz0kNLor/fA1X/STu9hvoQy9T9qmi+0ORvaxLzRd5bnlknQpL5Kc3LeFCD42wait
9nnLigHHm5vgxUv/PJj8vIpu1irXojhWoaees8ujD6xVXKHaS09NNcWAzDtrN6gpPU+lnR8uodLr
EEnQFtWRuattG+AsH5xkFcJD3QTAQCBXlIR0e4xw9hf/1Cq3lwv2IcdcXgUF+6R8hBGyDA99gzF6
6ULFgxFk3rlMmHKaZVwcA9Ze/Jf1sBkJNrkNsD/QEXGseF11aBxxEoibHr1Ifshtv9rSkiOHSbcZ
s9Ghi617TLbJeU7YW+ZyQJvJyMS7taG4ssEGMmcRQvkaI9vGq2gb8Y09hXDPi1SIIXIt+hx5HLu3
6Lvs9Yz7eKWXBIpp07XXrSEsZucLIoWw8e9igJA7Zq3OnbCq5HpyvWcwOsuZOG81QWgezf2Q0q86
tB0VO0oIEqwg5cavvR5KhkFTzbQEgOyuntPgm5sXwTcjifuVMtR01eHoe01Dk77K0LqwJTBLbwzV
hyjEwsv1iNlCrJnDfC0JQyRxa9QlIvcG5oyyZpSXoX1dEvn7aMLe38SMzEcO5lk7dkvsxyd3+hjY
8fgiYy89k7dt7kcs/z6KSJ2tMpGNTkTsV/DFYpx2bMl6vhkcPX3uHEee5IDRVVuL81iGcDQiBd9j
oxnvX012Mt8RL3YBkHbBXZ518vOcetO5mxmw6Tztb7Rq/WtLi/mk2tC7KhpH7qwW0HMz9/5Dwwaf
LIQZi+hkBOMKmx4HaJnx0V7ABHzuGPpJKMcxbSuJ6mudYdomW3oyv6H0BGeUsjV+aLsxJ9HRV7iE
WIQKg8RrHg1vzZbM2zYzFoW+pqmzVg3wLwpKdwNopb0qJ8A0UVq3xErbFYlsyVjyM7049dd5KOKV
LeRy5LdNHm2rXo4zwc9XNK1grMDTbVe5LxlAe1VOrCubhW1NqOhauLCbPBXW297X9aZBk7PrGNGw
qfPpz60CEFRbNgj9xpy77mB0Jhq0tA3mbZzGBntghCPIycsQkg6Kp0jXFDi2ZA4qKQJep7bvWcbG
4lzWbrBLgSSuelaBlywLEUePQuzBOo9vwpTL1k4C78qWltxNGF0IakYSRQ5hbb32Qirs1RAMvqlw
KIF46ek2tMzi+P2v29L3HpiqdodZJ5UdLZ6YbifwsbcqmPvNGAB4p7PAnec+BuyNQeqzgeWQ4JEL
SgcI7isavMAsnLI3X4uiVx+E7tUaIwx/1WX6sMkAMZ5kk+QrWyX2vSt1/CmHfP48ZlV10d7Inect
MemaFsHUBgFpU2uGK1MPxdGvh88A+fpDwDyU1Msh9wCIF+bl8w59au7GG5Q+XD6ZEujWWWF28gs9
niyjB6k8W7Xe10Y42xHRNs6hs2E2RmYwVkdcLRoUe+2jsUXstOyR+PMLm3Ag92FW+A+WVubHXo3L
OXMVt66p8A15DSAgMfmMDJdm4LDfZWR6oa1sdcMIs7o1HpvMnyb0Edz6AEUHnG6nOwylk34NLURn
RZn7D1Xne1exVUNy8pVa2y10a95+I6CH7nUHIluL5wkByU7K1n9AzWZsPJfY2aDv5S4pQphml48d
BDoVfWfyT74wNvSyQxhxClBQ7Os7p5vdzxbk5g283uXox25xxM+YrYQJ/q9yTfmW8w0/EKanHpH/
LM88SMmdD4Tnts+H8EHm1bhCp4Qmv2vkLugc/2PPXrRHCWHH1+UkKcXx24S0R1FGwOFYzothjm/k
4hpPlWgwJPWgPNeB4f91nwpQmd9mk19Wu860NZlJ3CDMNh6BJLHIOMV8JPd+AOOms09yUME5rEe9
NczB++AMs/th7C66F6+Zb/hS+du0TY31nGVE3DZuuhdxTJB4YnT3dcqkwO5kRSauo2++X/Xeo/ta
qyC4tQtza0psq2Gn8isPUx7d+bReSWDXQNEtc6u92rwSbSo3Msz7QzX3zqZpK2ulO9PlJRbhfBzs
ubyNg0vTGEkdEJLLs0xgwXIODZdmN82JqyXI9I1QMt5UpQBy4PYjfDvy5m7NNq8ODKr9j2Ecj7s+
NmntBRkfQ4Y+3P6lXU5k6ywnq1WXJLjQqaCxFSlLoGXdQ7p/7YpZ37AozMzaYnkrumVZZ7WHPmtW
zfyMaMrzGIeASyaNRm2FVYTXZYg4fihEfuswRtoirSyOLqF7V/mEItESk7GJu0bftkLx6Rap7Hei
rQ08/UslSNllxgYY1UrDDd+m8RB2yYLsHy3bCfuqtFZSyPqRaZHcDiw41EBSqCtIh/0tQJpxBUFl
XGEFwbI1Wc2xjf1p69iWAfO8kMajMs0aj1k1UjGjLo5KiGkrMwEKHvVek0cgqumOBmPrRC347F1v
SUT9A49Tha7j6ISZ9Wom7nxyq1at3WkyX2fgtSR/ZrUDEloh+lS8mLi17OOip+XcIS86+pM7b4J+
7g6048cmcuaxYSQY+qOO0IKw0knlLEDpNO+84cCRR8Pi60c0u1CvCD8er4eeTJOYv3qXO9BAsI+2
8V5ZubvLTGc55EHs7yakMpczQtirbfqHXnpjLZmtVkNWPdi6YCYS5HKzNKmxY2/fd+gzZvsFsW+Q
821oH5zRmUlNzoyrJB7vCPgQiFxaBCS58Ra0vdgi0/joDKUVlbSfrzmNYl2aNSunl6huGwTdtKlL
JnVxnDHjoC65cmOvQ0bSmsQCDqRHNotXrXpEpnaTEbis/OqLkMYXtXi35HQ4W1tj6qVuaw9BKgjx
WrLHqU6XFcizZM9qteNCjCvrolBh6NhtwyL4CC4Sr3B+wdplChNBMEGSQ7OFRzLoCXLwGFOWouF8
ZeMhIR4gebBiy5Nu4hPq7WRVkEfG0LkEdlIjctotS04kBQ6UfaGtEurEoEcE/Uv90EC6WQCOmq2K
Kju9SnO/uZOyaD4aSUFuhj1Xn5TRDF9QXvsPAkG0XjOYhI85zssRmHmxc8t02Btp4WHGSVoX1V+3
3OWJj9kmIQRgrAYxM8bsCDFYfH+Dgj5exV2a7jBd5NuxLejGEWp2THJrHiKrb1/DbqmurNBw9gtI
oRABZp04U7MlaKEo0Ie9Ut5bnzTb8ZMVDr256myvPo9tDnLOBvB3Fy9zfehn3FH4stW2x+mxtism
m1EB+i+hncxdXOvYe0UF0zISAKx+61p9fpYepgcGld0nH/F0QWc7tW/mIOw/EYojjoWbyQ8xCqMY
xffgPJuXL6RvVYzR0iAlKl0OV2kWuKe0Uv0H2TveXuOxQeScjFdYGYsvPWJTNMFEHEVIHOK7UTTV
10oJZvK+5X7GX1TbvCKNOFqFDRGjZweOwodB7TxKl72ucgfsSr375EhBfFZMBsQFt5ne1Mb8Vowi
+GgjSd6Y4RKskqRctp4qc0ympH1T4y18CtMqHaLB0BgJ5o6VLC/zfY4hLWrwRnN7+doeZ3YV6zp1
lmiygnWiyPRUWfVolBkTgZ6GFqt8RM8WsVY4sym2mg9wrZx1ATwxi2DMtAOw6bDfEZWAn7io6ut+
Ke1D18WUUpukmuPEWRH9FAzG3gFdyKgXl7TxNvflgHKo8w7W4AfPPW6diH1nsGMXc1GhZkgdHaO/
5qNY3lEq5p81IRdPeVu0H5uh0WLXGAxDowwRVbHDUBB7UVFQ0sBelGfXsRBtk8+uXwomxCNqxCk/
jvbwlkzBhC41uFAfA3nlUNl+kQ24Pnw4CsN9cbPUY8lEwzHKXV+QVzRxq66LsSExOGyb/oZGYHKT
UwxFuVvmagM8nDF04scr1eX2Pe//117ilB/4poXRINAxOHG/HMNaDXeFSZPBTcr0WXdE25izsDbM
ZOKzIg7klTbYi5ur6QWJ3sMy2Mrdko08rg0JZDNvF1b2Bv4lr1r5APSXEXGatt29ZyJ4XMW+2hLW
Y26JnkdMzRO/N4La3aWpL67twp9ZXLpBHNIqZG+a28krWdGQwFkJ4eQayTZItHhkq8P3JAmrl7gS
5hrMzweAh9MVHkF7x0+x161u+wc3c7+KMuhuYaDMr8kSj9uxmALsYc6cn8JwmXZjR/JAiJdx1ya5
xvkaclGcWHwQY+o+ZmPdbfPhklDfhcRpSGqqOfXDrWd4O+aF9h17kGcW5OJWN4t/bJHdRf3U+5um
lPHnOiR3quymgDahkxNhES+IjIGLRnZHdauV1+K/nuQ9KT0JFa5Bv7nqocrO1Rm9o38nWhysPjPb
GwvB2TcrkZI8sInR3pABmZDpcIuEOL2G7OE9oGMLZbKal9gYPuXSIMAMrzXMEYKpMbysl16b5zge
mPBNIEHqvqiR7TjlQ8+KizrxMrAMR3MHP/IxgbYDc9r0j87FRtJP3UsaSrHPk5QvFoXgkYXU2FdO
OF5Tyonj5FbJDeO8gvq3lt9Ipx2zddk3r06bN5+Q1A9oIRJw76/1dzKuhfie6EaCjumWYPtLlP04
2IaeVwZEsPAmK7vEXhEh0WosEnVDZIWkjbwK0i68kXNXPsoKxXblzSEGUcXYkxbWI1PrNzQqA1Bn
SpWudbqjuUxfhMeuwSttgmk8j01SC+lrsYr8UBHbs2E7sTdsOz/y/nsfReU/oxOaUZxCOKUqLLFI
BF+UnQ24iOZ4ZWLWtBGU7wftk0jEyp0v115nnqmhfDpntImMIbC+uGE5Xbk1IAq/xQWHuKK7TRjX
jqERf0ux69952DXPSoffWu2SQsyr92R/xy97Cs8Zuggdr4k0ZwoqvXpnhnrY2FmLehQrewSYv/pN
burPXVCbqZPJB5oWN6Cwix7th0mOo0K/Fhn9VwFQ42hV45Mfsu9PfHa3oaCR/+u+6z8NQaDVBKSm
BpfU23edZuxKjHRJO9sL1XuPrd3u2AHoTUvUx2/GLe8iKOFYMG9B9wp5gOGeT2f772cWIlH7s6nt
L8P0RX1v0s/x8FX3NOkNAk5O9JXMnR8s5uc0vuwoJ/pxvz7df+reX3ju2Goc8I4/TQ+E0xNHZsKF
xY90xjFFSw+n3W+O8k8XlVt46WFf8BLvGYuujt3Bhdb+5zhkzGP6keGsI8tF8/6vn5D7PY0YWSAj
xsuv8sPjUuhBXrIYmCxNLXDVCQtYUL/8/x3j3XQn83obuQnPiIX4YfG7nYt4/deH+MeHg+fP4ubw
ePyUxRmGeYBWsO/2+Lx4EAbTPtq1pFtOUPHH1GDU0iJFwgpIr5XwOfNAounvRjs/v3rkmaB9Q/1m
huxf3g0gXK8ZHKMOiUO2LrbIukd4DVPvGm8DQiCi5Ne/PumfH0aORxxCyGIKKuj9u9dSWwVz47Qw
vTWrlD+fRWqJ36wnPz+LKHQhnnv0dyBUfoeT/PCAhInVL0iq233WJwMemBpnZzNeCxKOfvMo/sOR
LjpdPBpwuYCLvHtMQpXh256Des/ShtveUFewLB6bLn/+9WX7h9tkCYS/FveKlcu9TLB+OCO/qQon
7EQNIt7cdOVnANtYj+QKEenx10eyfx42Anb44VDvxL9sVP24QoqHOjOkeyfdJKom0feRDseB2DG5
PM0eg2mPJmi3bl1afGbXxp8g4xobkif7Tc4IaGcr9tLg++mCVe5SHL0gb469o41DMqXLKcbCfO+2
0gF8TsuY4qrflHaf90cxlvpmqgfaWPPglyv22uhJEUj+5kRdpNTvppoXAwWoR16A/83emS3HjWVX
9Ff8A+jAPLwmkDNnUpRULwiqJGEGLmZcfL0XUqoqMckmLT+XHW7b3SUhE3nHc/Zee0HVnK3NmFMU
2D8977SNu49eUapX2uDeSdtOnoq5dw4YWGii5OHnZsqijZNJLk6TvbftYp1YtGe0WmSI4z7gdih9
uIQ+dt07MbqXQJPmVVHh3G8zANx1YjirsEkNRKpjNayaQXcOCgxzfwKKuaPBNQZd5+o+z0nRSirO
BVEbuJgzD7wY6zWRVai9nGgKTL6hx9vSFQ6PODC+OOFYvrNpvTLWIEBpKDjYs9j3z8YarEiCcRrJ
e0mV9mIAq7vnV592UYojB0qjMe7eHnIvO79gIuGlwLhC9uKdd37h2g3DKIpq57ng8Sm6FGsoAB2W
VNFtIdd3FzH1lwczAdjw9pNfmb60tZccdbQ4L8UXTSQHJe7tEqy4lJ8Ge9QQoAntAUhM+u3tR73y
Jenyshpx4eF/znvoNEc4dMq+RDnYUBodNCr5lIPbAKtZs8c0A8OvpcsmV6NO5e7th7/yPTlXGTYN
MSQSNJufLx9ORlZ8UZXlrgUtsIVy8BBNEf3eVDa/fQzANcB8gmlLGvMLICAXwRbwU5rvdNfFCb1k
1blTzywyjN8ephw3EEwhjEKGoZ5TekVbwaIZephvWj8Gs031xUivx9GyN9w+v/7uCzTBfhMOBhCY
VtL5toU+D9NtXvO1rMLAQywhP46Swm6bG9l7nJ2XE5CHcbThaLDAJ8+3r5oGMYaxgm+mmA+xoXwk
E+MrZJOHaLTfOYMsc/m5soNHoc+x+Wqs+edoKpLzElkqdGMNAX2FgomH+Wnl5MOM02k4UKt47zT6
+hNhIyBjWybd+fZiCsetlifW2nDIkJdW5AsbTVaveqx9qNb1d1BkL8c+aQMqv95y6uCJy9v+Zeu0
Wu4dHc6EndL3B7kYq83sOrHVdx7z8mCzPAaNDERsTh/n8CeYA/Dk+Kt3g6IrD4pTmnuBC3r99jh8
uYrwFExAQEAXuKp7NpEnRQfom5J50Bhca7nu+Xnaf3dKm/SMjq6aO/sG5tG3H3oOcuYWw1NZOBx4
teRenU81lLedh/4lw1ggKYVhhWGvI//8kmgQZT3Dl1m10sv1FdxxfDnO7OFnbFVn201ksBK2lm9G
jkUQbuo7r8+AdAjB4WA5FmBvsI5oY+wPnj7au6hrrXc+/as/DGAzRpzmeub5D0NfMs4pb+Y7SlQl
AmsvPSgTxY6339Gro8xjkAHX1U/5gM9GWWHWbCNRle+Q/8MJqYadmgFecLr3Ti2vTFggX5xtWYds
7rBno5lk4VKQwLHTJ4EMG+/0frLVafP2t3ltBcIKiR4Rbh2qr+Wd/jJnZuyEU9QrGQoCUNGDwzY1
WT2I6Tb/MqTm75+iuTMiE2XLWJLNzm+omLTtAdVFxt0x/Lq8uyaxb4sm/Pj2t3pt8sCRBzLJG1yA
fM+/1dRmJaAJJk+eoBrPpEadPbTwaqBqbyLL/ZPU3HSPiuVnIt8zh92vjrrX1jwUsSAe2XxfXnqo
n6ixAV9nF0X6dVcqT3MabUT6KNL5nuV6+/bXfG3Ac+2B8IgxF0b/2Qqb8x0dGz3/TkQi2xbYEG9H
HQLt20854QDPtw5eIjxkE5sgGobnb9PrId1Y1N0wPo3qYwIBd6OgOMbTZgywflpn/JBqLllnVTdc
17LMrqzcMbakURrrWQqIolEqAo0ggTWGFJqyPfSud04j2qtv3uGGzcw0LM4/zz9kE7aqRcYLu81k
Uivs6iet8yofaUm7Txz3Yz9RncDPRyWzNJLHbBxaWF3VHzFt3dkW3UGMUDioIuEjkooA1Mb3ePtF
vjLXaGxxBHWILV7Oh88/Yg6hKCU8qdqR/P5VzFq3UQWKqjCniS2f3n7WK69DOwkNMcShlD0/xuia
JLnC7Tjah9pXlYIDPiv1CRRfuSMXHPONZXfvnDBemXQablWbEw071gt989DkcsLjw9dLrU9xEim+
TuueYmYzY7KU9Ye6GeuAluyw+/3vSq4f8BZONppxvlKaiofmyG2rHXe1q9oeAb00+S2y5IgQiehR
upjp3n7ia78kRzbKANgjCfA++yWZK2PXkrG9Uwhb8KU20Josje52JNRuV9hcpN9+3it7Dl+QM5TB
xsZh8WwGFmFjxsQhVaQnRki4zWYM1LqqAwNZ3P/nUR7cK5ekCER3ZxuCcMykI9oDaqFXlTcWIKJV
43T2Mek17Z3l67UxCvqJ4YnhbKkHP58PA7qYcqYysGuL/qGPq2+WVRMKxe+XRPUtTvjuty9HLGCY
LnSLbA1OiGc/mzZRcMd0Vu5mfUbo44x3Td8EhP3Z7zzolYUZbbFq4QTnGKKTE/RsVxXziAwk5AqY
R9bHaJq27lw/vDMkDP6Os1X52TPOxoSnpFlqmjwDVa+2MpNEHFqrte70nqzQMCepLInUEXZBI4LW
TqMP1dg4KAZo2PRuA2hW65FElXBSKnNCBgOIfj26EhyN0TUHfMXxre5Fk1/KIfwcCrXcYrajN5W5
EspQFO5ji+TQWZ2mG0trEOyl9PDuZq9AcVFqbbapirbZquTHeFygpug6zVVOh1WCKSpLmut4cuKt
1rQwOC10WoMRF5eD0gw7N/Mekiprfd4wqYTUippVjFpoh0KpWJF2JtZwqSwUg9l4UZkE0Y8JoV1v
v97Xxia7OL5OLBT0Kc7Gpl23NXlrjE20gk/11D25sQATBkOlqBZ7fPX/mHacuTnsUb5HGX/2PCuW
ZW1EEg5OHS81p6tRz/ZjV75zeH1Z8jOplaLw52xCme48icKcsthoJq/coSS9FSIBzjy6f9bZBzpR
l3Sl/d7S/4jInXr7bRqvP5cqLW+Uy/X5gcwTRU18ukVNpJLzp3gim8RtTOUWtbuar2mcc8epAcuu
u2yog7xEKaT0JQt5rQ/go5BEpaMCrLJXNlpngvZBHcaAE1uMH7SxvPSLhVF7NU7ogTJnjgKv02xq
L84cRFp4T6pc67uzVa9ISiDopZtFtIaIWAZdLgjfc4iTdvN5K6ax3uDo4t8vZsuPCZpeO4qjP+KK
f++neG1Nt4n/cvArslBoyyv75eSdqC142Wwod2r3JOkureSobjON5Ja33/1ra9Evzzk/GA1iKPIK
r/fOtXLVL6k3gBCK128/5LUN0cajTV+BfhvkiudfRgWdVtVmU+5oOuFsBDrHZfxjlcHohRb5juns
1YctWSAcfHG3nR97bRgxZZkzV5TYLriJztsBFhcyMASVXfLO63ttIbAp+7NbYNl7cfjNpTTsFCnF
rkmbWx1bMEQK+bHKm29dgnkrtt95k+cM8eUKzu2BK/9SJtWd8z7N3Iqc98s5LZ1yomlmXTu4czPu
dWrxAQ7qeAfpogOo5Rl3CdiZnYxQNkcgQC7dyM02HlyjDw6+ADTaIYCdd97Ha8OW39mgjET91jtf
GMcpbJUs5pgz1uKb4UWPsT7c5wbN5LdH1KvP+ZFsjHvtxeGgHRQZC0Q5O26igmpO91RKZQyqvnln
I33t2EpxCvcaSXiE5pzNQyBtyLgRYO06hONxi85tLG+byjqkrnadV/VDkXvvFCpeG8C/PPL8wJrO
Zo5QRy12ygiYv6++eWaOwtU+NNXwzp3DeG38ciNdgm0I6KKW9HxmdqNLrunkFCwzuvyji8X3EfCc
P+SaC7Fr4W8KJfFhE5RrUHgIjhVtkWc1KH+8of1oUlT5GNZuu+t1ZMtYWzAbxF2Drd6rArfMcxBQ
rbuZnNF9dC1WzZVdkgUCoJqcl2wpbVb6d3XU0bRXLlm66h+Q06/wJIp1x5EvIaWM2AkjWfcEaN4L
lJds9vpvhqKdJpW3OHUpcTBuz7vzgFTJMUWkvJvFvJ9BAa861fxoCetIzRTQnBzfGb6v/cSLPQPH
oEOx9fy1i1SLZM1haJfUnoI4pm/EZub2GwD2ByvXLsLUtyfMKz80+/riNvYw4ry4XXq2dItON/Jd
5oHTiRsJ4yHmhCbTqv2YNtq8Q4f05e1nnvQaZ4dQtDc6L5UpytX2bHQBGs3pzObFzi5mz4/HHrpw
DJ0exhlgxCrPH4VeuEFqItk66ZTduMsfi37u1h1aoi2cISSz73yol+0+E1UCVZ9l1SZnRH8+5KPJ
miEaM6PbOUTPZkTmBlWasYGN3m49xzZWjBTkU1a+9qIm9iU9GeTXpha8/UFOwX7nbwdfOHIM6E80
2s4+CE7+yC5gYeJbTmF/nsTNiZHPtwgsS+iKne7suxRJIj4Lgp1zisigY+ijEvU23IzGqG4ktPdP
MQkNPgBr9RPHYuIrRoYUtolsg7LH2qLL/SZRZLJkk+Ngp/EawaAZNErZ7WK7dtbQTJzAjY56lRn3
mVFO10xbnCiSifAxdnvvkKvOZ7WX2TsX81fWcLZM11BpAHD2Oy8cUW5L8xb46M7Js+k+xp8Ll21K
PgLIiTdvv+vXHoX6Eq0BbnS2jbMDCE2nuiakvth5Fcx0UFCLpWcSkBfJFfj49rNOv9v577pUf4mw
ocqIn/v5ACsVO+/HIuFyMFihu+poGOP4mE1tG4pqCEon144asd83HamGV7quRLd6B1vQNHKxFeSD
7E8f6F98wzv4hh9D6m+SwAs6m18REfz0tfoVzvbjz/zkN3CI+Y9KH8cjAGO55C0Qtp/8BrIvYDFg
waZavQwrhx/5Z0KwCdoBvzulZWpOnNQWRNxffDaAEJC7Fw2WZRncdbzfATichAm/DDQOJMvBBOET
VV565ucDDRK5IPpuVo4ucRmptwHD4Mr+UzN4QKIPIGMdrkaAg9043SJxsxPrwvDyYkRvDAjGIay1
kuQ4HEwvdDPjslRwZRMRpnRxRObMys0bAF09RLMp3C6GzCS5sKJxqOMVlt007HdhPfOsD6o1YCnF
Gdfj6Y2hkyKKxAY6ug6oaxIxfGWw3bI4LE2z3icyAbApfiWw8p/1Eq67j5GqEfIe6S4iqbVrRqNz
C1+/j73rJOnWIxDiJX7K1ZXCt/oSnE3eNzO2D0cqJOhGwODdn+Gv/86ad2aNYXHD+GXFezFtPj61
MXy9rip/nTg//9hfM0djpKOloUWOwc4i3PKfmUNMNtWFZTYtM+OvScN0WpqlHl1oaBSAQ/+eNKb1
HwQoS+ketIPJXqn9zqR5vhOYJCcCTzzNS+oMdPHPFucZZ02vtD1tpSEvZr9Mpv62YRuyV1zu23fE
g8tf9s8EPT2M+b4cKD10YS8CIyNrMmGUYvqOFbjhpVnpDxK1+2OWdBC/6FKIzxFl+idvILzul9/k
5sdDfm01vfroRdJEqhKL2gKJfFY/UDJt6irNvD2BcUuvUfBcyRHEh9PbNNrdCWZZq2Jq9NtwwbG+
/fjnB9zlm3M1JTudejQF3BOj8tfH60YS4XzLjdu8ULLEd5Whq32162dxgC3P46YCptHbzzxrT/98
KEOFGzIZSC80hfgUwz4Snn5r6aX+UKJ13OuFPcOkpgnyKDqL8IVkIbb2Ws9ZL+767isNMmxVis17
qG00McKJCKFplSUwZGbTfuLS1Nbkzw6qdhxECAc3WUIsVi08xDiYaBcZ75SHnx/Vf3wNqiVoZqhE
k1R2dmp2R6I3qH7qt5RgGSt9jhYqx++xcdtJezhBoafs3dSv5zW4n0/1mB4O4doI3M8GjK2oTjpZ
jXabaoP2UAIF3oKri7+rKTR9qc3TnXWyWzoe+Sky7pPt27/ey4np0L5YYsTRn74sceLrX1KwJ+2W
hJ3pDvSA+Cw9ogKiodbeufVqz68Ap+9KRY2ZtdyEHGRYzycHjiWsJ2qv3SIlm+4UQTNvMwALyFeh
YbRfp8w0nwbVXmbnwjYWzshkOTllU2yP7/zcr31xGgGslhoixBejVgdr4NVqqN72Xc0kMZ0wry50
6KoD9kc8l2+/5tcmibOcWU7/jWTq7CisiRQuvzHoUNFQbJYSN6UPh6469o5aHYuGHAhjaKtjXSeM
cuAW2lUxeBO2jlQjv0NL5+qoYG28i2A2k8eENuuCsqy31jpcw3E8kKFUypRZZrlIezlhq33+znH+
rOd8+gGdhZRCdhzKb0bs8x8wzaOwd6Wn4SZJyR+bnabZncYNeFDxuWkg3ufuyJIreYGFO4K9T+Y8
8VGn1DshC5iKSYYWZDuPM/xtLSQoxG3U6e7tl/3KKujAIkI1Y/JhX6j+lUnvB9oS2q01O7yQ02vW
RCM+a2qoPdR5897IXnbQZzvOcqulnEGbm+QEVzuvZBRdpKdqJtvbEaPU0eoK6wk81vIvRkrQAIFH
N41ht/YqTEKEh+qQEg42gkglwmlhURql7L4amKZvUpUVQFWYBAn3nAtzGROnV9Sya9grIILeRTs4
1VHScyW7KDH3WEe0q1n27+mOfnRMf91IkaUtglCOzCalhBcF5Jmmj1MTf3Zb8ad8T8i5CVJHSa+h
mcpuVw7xMOJ8GdIu0C0FF0wyFGG88WJgmat8EYX5kpKor6f6sFYLvK4DPu/lAtySoVhSjcHfC6t4
DrDbejT/yP39AOQ9wmRKJFYDPhFmBUYGOB6BqqvMDPxn/ZotgCy0LMUJZ2I5vaUpGR/dtkgvqGtU
V7gfHKi/VaOS9kKwyCdNOtm1Vsn8TxWgcpBzDiCsRs4A76H4xF8lJ3L7gFWzDJKO/fugeugMccym
4oZ0FtigU0xwHPmBrRpYDtk4iHIcRTz2ZZ6SQx86zr13wvTUaYT1rtGHesCjFNFk9/DSEIbS6e6X
Wskb1y8xZWY7YOKdvqr7Ho6DXstE2eNJNy/0iIyaFdkiB2rR3r0cBzJ0HXOJE1JGgO6r1OpKy69b
HaFXAWVE3DhRkTc+jMkYk246eo9R3LPtZowRR/ZMObuCM8c9HBYpRwNv7SDP59NhiXpqyUVL/NJl
teEIyEI8CHaBlpAA7OhOC0s/NErFd9swh5aJrtS5cMlA69mZtVhzhT+XveoIzGK4oy4JjKkvlIle
+QaETAEbXiSTuzejJL4aMq/70y0zuwKCGatbNUmbAHd8dNXoZrNpPEzCdSU+j6o6f9JaNznoA6HU
S/H0iyT5C5gsdHeqbOFGJ1zsD4iS1icK79aqJr/pKwNl+hb1IX7QOY7KYLGXE2FMCOQWaqQVFJoz
+AysQjUgyZbT5JJoxk3GJZPArDFYTlYSiQfFcpPsOKCoy8wD7QysZc4QVpAtULHJygkKZ4mlWHWS
oFObmAbLC3X+t6aPuiV8jLlg8IlXUEgNCsgw83Awx4Nt8HEzdMaBJD3LBYywHH5ma7qrsow3XSpD
dVQjrpus9or5VLujY6xb3HpyVVCZ/DApNHlXMuzYFGh9kLXjENKEfZG1IpGMSu57+NfJCKz5O6DC
is8wEvhlCU7jR03SSvFVtXHJdgLEj4e85adHK/y5gXZ02zvu3PmztM2n0KKcDK+H82qXgzVJi9F6
wr3oPY464P12js29jSP2QjFZhxyz8NYFLAOyNpihrl8gaBUrWVt8OG4c1ZFjXfgIPcANMllUx6wk
n6xWreUfQkh/0XVgeVcsZyFUNdMj013TlnSniFCDFtiu0K50VeXfmJ2MKEbX4uU0Ojv1qssN/omG
OLYrOMssMR4lv4uoJmnBIynmDsktm3qisKKe1kjOcO5FaLGJOim4r7By26+1t7zKhUL80LY9/+fp
0xZ9DwXYACJ1U3Hs1LHjJvKmPp1FspzgzeuyyBqkZIN2RcVUuxqI+TlKfdQeBo2gFwyF8q5PuG4Y
S0wcvFy2524iK0kup0ep8+61QvKlmJI8KYtJqgIAMd2ly/81NCBxIPVx+lSzwXpyc3ZRpETtV5Gz
29ZeVH9OSVMx/Clp5d3poDBndSkPEK/spxOzNKU587mh0L2eiAIhjDHHKJxQk92Dx1av4BMrvl2F
QFwbAlsuGEb8dqdQu7Kq2XjaqkGpzidSU5VDeFWRQovBW3wOsWQkiA10pVmHlOCe7HZeohkqG6d7
3TZ88oE/Q+pShbgAShMoD/90wCG50yNEMiUB5HT5MZajj0y9tAhyEFW5bypEn60cYfcwni3pXsSA
up5iMCz5lm2HDyh0DJdgckrQGKLQwi+5EvPw8jSFEBKm02aYmuUYxM7TBc1465pj+zX3Wn4jQUqX
3vH/Yk5iAy5Ni7WtWq4qWUxykiY1DgYY6/aUZscrwBHOnq9THQ2iTu4S2eMuV+KcTzv0yWJ8Y8ft
luFplbl2pUYpO1MG7apZp4MzAR9IZX8pxoi+YAE5iFOaXTJqCUlzKbTwXxd6aDGAO7zn/Cv6osdp
SJwHyFOQX7paTbYIuBkjeZxbT3Ex8k4nUfD9T4tAlhvTHWE6vJUcWvQFDDNMIh4zTNjL44uxc/10
mfV5p4nPKT7/I+knDR5UDmKkXfGrgrAgbIaNnPcwcgT1CJV8VEjLvJlkZD81yNSOGfwjYgSSWSGI
CNbnRdO0fJLTSDQnUoSPY8ISYGkQgNcY2Fh8zKiO2htvCvVx78JzCVdpbbI06VWI6QzYzyMZkZOH
1W0GBzXbHYci4sE4A+lQoO7hlllPhDVpD7ricgfwUq4h5uRqD6PR8JKRrGn45Ul/J5gn8cRnOxJM
9FobCflZviE7EWfkRVqzaqom2Z4uvPOoiM8z7dMHkBT6Q8LSra6ghGkPRKxoDxUdSGPdLae0GZdI
/uPEeNo25awyokSuGHvDjfnusyW8i1J3iU/s9SJogIndnd5aI4bJC9IRskXQLB8ntvkWWUKolOg7
5itIDEguGSFa6iwJvHWM2SAMgZbfyoJX/BVSAJMLBymrY9w2FkAghjyw9yyc7uIktI31ODj1TiZW
XqwtDMrW3dSMS3QgGPfZh1ZlPZnTsrLwT3uP5UI2z/Pe3GewYCo83u6YH4rB5k/nfazX9xRiEZcA
euNFz8vmgmJnWfsm5KrbKtJY5DmKRMuV3CTXzY8LxsTpBfxYi5aL+5DqrAvLwtpEDjvOaeyGEY4t
6Nqi2U1OIr/Q5wpvT+PT1Ptwm1II2A5lbWaXTu8yRFy1b3amlQ2HOJIgn38MiAJO3XfhEDrjF83Q
7HDqeMRmgn4nZFJ7OI0KG8vWvMr0ULuyyROinVVqV6m1VBuylnxc30a1UsKhKVmJqI4qPrGWFCEa
K01m2Kt8IYWmgaC5Q+pMY478Z5KDELQPTdeuiItrdgw5LEmxXY2BlhNp6DthzQ6zCHo2lWDQ9GnF
am8k2jUqHzhC8cygVhWNOCQM9M3utAKaWZcBswgdXja5QMv2DYSdpAtnZNosGxDpnpFBpq4YOhaF
KmqGcEPeG9l2Zb982rTvmGZGLXluJOR0V0izsVeCq9qjN0kOflbE9yY52GV062an0OJrJg2pIADT
+0GDarTr+qGMr7UlemIPPUu7atSBT2EhAieGLKkY7aoWzs1DZ/UcQiIl8x5PSPySuAG+r+ONN2av
O/e9OxXXFMj/jJVQ8TMvbXfoEskCIXvrOGZR+j0yiMZwdHI2DJsrtT9UBhN4YnuEUs6OtKTG+h0l
T48TirQfsxQrCgmV/KCVNc4TiMmUHNfSlQMEARB9IDWLfSJEemmYrQaFpLKKPTf7aVdqJFv4kDHL
y7Ayqu/elHNesHVkcCaHTBLDWr1z19PUduqhXhb/A21ACpFYKThTEfrMDSYHP69UOlUYqmy9X+fh
qNxHKaYyvyHSmUqVp/GSDAvmEhXAceUamKAhYLIu1QNnHPrs010du8TkEby2BeGIdKsemTPLRTkD
ZXEcjQUN4cU12dNqw8cLZ4dik15xPjDDkU+KWIq/L4xZt2cLxd23ijMmu4snvHW67OEa/PvH0A0Z
QaeLYaRGpTgQYCRY8jrWtMqeyFennobDPq68C3x75n4UnnZFE9Z7BLPWftVn6RKslJl77mD8rqWt
s382SHZ3fRGxWs12oj8MPNk/rZtemi1hX2yYa1kTcQTEkUVdhMQjFo2bFEEoKF+NkylA1IBIqTrW
vaZmCqHl4pAaKtlBqawNYaF87nmu2IG428UYuuLkmznYanvEC82M65b8DyurvQsyrZcTRk2NZMkb
KzLAt3vHATu458I2dTg3QfWQENFsq67tN0Qx6S53lc56UrMZ94erVUe+MasSdR5eiZMqbBthqHOT
KGw2FnuQNpG+qh3MtUM6LGlYV80cLcvB6ciMGuS7HUG+pUpWqBtilYlktmWnb3hy/EDyxvRhiu35
IjZl8kH0URa0zBBWZ24784YNsSe40C5U3afjo9w0pKtNPsfp0l0bjTHt9MhS/uyFYX1NvX7+BiZy
+F7lU8txe8yjFecq/agJ4qM1DmXbnOLKJ7KJ7CbowzAHPleXab0mbbg+WMaUXCWOAJOT2snHQnTR
PR30YfJxsskgay11i+ZaXnmGCD/gcc3+rGrJ32QRtdVyUiaO+4bUQG6sOVmQmu90akNshTfYn0/V
mX87PO90eIiXWEQP/70xevVt/J/Lb1Py57PW6M8/9leHRwVGj7qONZ2mIGJwal/PeqMkRiFpoA+A
V+DvNo/h8Idw2kJNQz271Mb+bvMY2n84SSIOpDJLJN3SmfkduP1SxvynYmSRVsXjLZfOEQYp74Wp
uwY6BOyCgIlGx9P7hL96gfiYTkf8S+wxyFasmWMq0TNXbaGQjkgYaMPtzSl31ZiA4lBa+bUx6Gn6
iiosOL5ymI8T4TTf6iZ3goS2SzPX+LyIHWabJX1FmvcKUdYuCD0SMnTBmR+yKokOMqIKza0D7ph3
Tfm1c26Hqh/odYofnU/j1Aa1x6FTP+c/+qOzSYQEdKpKpXOaLF3Uaemn6j+bq9FsZfRabU4vwr2P
dWeuRmB3qC10qlJmNzcE24sCNCOiRW3tkuqSqx+T2unmfluKwYVFQ3BfqR4TLcn6NcdLNlAwb04t
5A0xHCUZFXJM+aMYXuY/0CU4yeW/E7Dskk6+MwENKHLMif8+AT90T/Gz5uqPP/D31Fu0BzT2aNQs
itplEv019TTzP8insRRgJVpoIvSW/uqwomX4O2viLz3CMh2ZkOrSeljMitbvzLmTjPfXOedyhDGW
hhWCYkRf54IeymZJXElXXnrlrMyZTwVeyk1hUwosCkKRswnwsM85Xhxby2y/alJyL0poG5y2cq7M
1RGlMNWevqeek2hcNwjRvimE1kJ8Yz9KECowcdUexGOBkyYc7xSHtMaaqLgBjdWHOJy8QnB00NOV
/UOrAEBaufYKEwJThUoXTz3wmsr9bghHJv0Ocrc6DfvI6bUk3IfOpKQHOg71cM9BQmVGl+RXrcGD
6uY6SseG5BgHuuS1y23IV3ksYTqA0Yhf0cmSQVEru7umMCk3IHMgxrmI6aNRKfQXZjjMKB2OcFcZ
O75UFeRzr3wZufgTzW02tS+KOCU7zLrqKCDsOXZFm7gK+yc6ZglHx4JEtSRrKKcRJ+fDNkVf53vT
7OjlAXw8xgCONNlIIvvIRb0+siqQGe6ngIGv4igblD0JpSObcKZE8l7B+DirgRpluBBDU1jEUOsJ
crDtEKpVV+80FVwUiTQFqvtsurNzNWkuxdRWpOpRVNbJgv1XqvTt/7IiLIJEZvF/XxGuKtCG/xM8
EQn69OvK8PMP/lwZPPs/Ftst05mOP+yWxTXw18qgsjIghsfftCjgcG//szIs2guq+PzHtC4s/PF/
b8poL+jeq2zYtPHw7SHL+I1N2Typpf9ZIeg6ovBBjcCVlL2ZlueZ5JElS7RcCvSLGZ95NG/hpsku
DCqdrC7ZXsJx9CipOZBfB9dK65VrGvNnBQi55uuJtmsHoVyELG6c/Ql/RkNbgdKf28sqKndxY/QH
tx6dwMw9+1j1pXJfl62A4RYpxy4hrFKYhX0/ECT4IYVhWa76ivqCJuqKpLC09u0W3DV/n7bR6X6W
K4/YGniCwFf43BNZBtEOWDvdhaI5cCWgOlKHt5B2r5kSVFEAUJvM6l0NpJCUG5do8Nw+aGYYhH3m
BXFUf+0tbQz6VLQ+9I/UJ5hLXoZkRyJxUoNpUNmCbeqxeQtHl9rTRqozSV9VTWke7ioUtvKjJ4d0
3YosCeYc8OnUXAPyNdfwSTtK0p2xyekM+MKiXmAUNs8voDzzpsygK11vJ9s+uXOiuKITgehXZLrn
j5UMV6MQA7b79LqRHsGyBBOuCwD6q56VfmWqmMxjHG1BlNDpGNF5UWzN20OWOJex5oUrzSjuPBVt
GYiFrVf0JPuNGUYznWKCB5XXpB4W6KFKfEKq+RiaHq1ukP7QLV9CZF3Q9ZSictlHfmMp9jp3+y9F
6wXGNBUHUWrJUTSJ9LljE9rgbBRAHBtrhkXXZ7ayYuVzcAjZOy/0aJ+RDeZmOpcnSISPqMerFd4g
a91Wwl2hrZg2pLR4KwUI6F6v4vTBSdF9t5o7BI6DxQeZhbXRW0UG7aSaAbkKmJTdaDv1kGVrwzbX
npb+ISZhHimL7GUZEsprke/Zt80Iyzzaxgb3LTCYmJVyZZ2l9UPV2o/uNF+kOnHe0WCbG6UE4aSp
c7x1RPE0k44NusHcpqR0gOQdF2Zpqhxq3ftmzkoaoBuygqUemROPYI8MCbeJsAanAFqjTPo6/Rmf
674/uBod/Zb4O62z9rWean9IgpRJFW2Pk5J9maU5Ifp1xTql2rGzyoiiG+yGFUHtHgnIaR04kTB3
8Qxa1aQO66s5/16mNZ+UtiuCzIEKiIp/ABwq663m8gtWBpnwdgqxNzTSD41uR5ewPYuN4X6JvFY9
AJmp4Z/bygM66gJksR2bgZMnyR1RznQiWxt4exbLrUi85mEJ6wwQsmd3M1reoG3ny7Zr8o2bZuOa
4Dp7M2fEXlooBNYliS2rTlfUm4Tj+FrFVLCmaxdjVcv0ICbMclU5qb3XdDi7SeQOO12P9p016Eci
mPtA4dz/obcIDOihqgW6mTq+HXljgF28XqkWyLDWStUPMjTVVaeQRw0Wad7glGDn7XEKNHNW3meK
IW9C0asHrWtHEr5tO8Z4iBVmbQt3DJAl2GR3lNnakHgf+aj9hQPYmH9QuSjB7m+rzL5SzOxLMsCP
YsPO90PNbt67gxI4M+9TzK1FGSXnBGCo3wlkxy4x4kMRw6yvUru7V91kDxDPxg/koDVorDs75FI+
qka1jr2pXs3jEuZgTt1Kr70/+y6nn0DdR+tvcvrWKzVNyJJJlG/wOOQm56DTdM5FMvLPt3C8RpvW
Q2mWJQnnSkMhtBWBDAc6fnDRVpqZPNVVRM/One/bikoY5dJoRRyogg6073wkP5ICfqUHTVkzpCK7
uZS6s+Gk9uTVBmpTYi1BtrbWfajDbC4cb91LZaUy1baTWX8baEMCjJbhFYHwxlbNNe0Qunm2SXN6
+jC52hXB6YLOYuHuYkO9rnL9DxAOF6SlpHsSAB/dsaUIktidn+Pa2vfEPD7AG/2YhximhXC+2TFh
ikOYdP4Y5Q+61h8ds2uuhKsjWmvIfEB9cImjYYVG+yaPw5KmdOz6YV1/b5peDRJkqitr7qstztsk
CC2ZrmugnBcLpHBrThSULSP0dnmKAc6I//AQ+j9IU+4q2OfH2camOuCE33Qu+baTyxPLeX6oBzO5
AbB/kWpsQpMSko4yesxnLco3TQ+kXS2se0G+PVzOOvlf9s6juXIjzaL/ZdYDBbxZzAZ4/tGzSBa5
QbAM4YGEywTw6+eAUk+X0ahaM9uOjpYWUuk5IPGZe889z21/BG0pQiktkkCH0WR5w+MlrVr3GaX9
R1JzxoM3e1+aEeRvCmV3N7KS2k/1pO0S0j8iD8XP9VDKGz0BTtuicOGNq0tBrEg0OKbA1HPXIATa
gmPbEbOC88e1S8JPtacxALTeatMXKxMmZ+E4Hn25sI7Ksm47x7F74PzNTqm0FWYiTjnlaw4hLX6F
3ti09tliObvEU7DCS8FuEc3ZPvHyJ0V1e1w0HwFlf+6LtgtJfX2DBOydGJfGO80DtWYL19gRa+Zv
DbvST75YE3xhVIcLp+quc7tmg4d5sepPJfnowwNm9riHCku+EKbXSSFiEdE0tH6jHodYVh63YuuS
6R62XH2Vfw3uPFAiRJxXrDdZk1dObx1as4HjBT6CdOAHa1S1xSZ+ntkVJltIqpze2FcXMmdIcGfd
dkeMPLODZ1Q29VKfoDr2XhDlIIA9gPt5mbHgg2XeLV3374b7XyqvDRv0x1+V18cvr+l3w64//sQ/
Om4DTb9t8T/Dfp92ISj8R11teL+xXzEwY6Is/jbH8b2qDlA1u8ROU3l/U1Ub2ABQWOpsJRwmSkQ8
/o2q+nfo4z+ragfJFy08QziWg2hffyJckMHajo4Xu1eE1oBVRFXSnmtvns0twc7z2hROJtzI+jTp
gVveL5lwgk+Irb+mzeLck8BMqLfRWB9YZk1PnNjZGZ0ix35p+pjRRO1ycwIZxNGnWWt7S6FAq5sm
SrUPek3wSEjAb2lVZ6JF+r2UZZ5feWYatCFcVn+X9Wl9rOLZirwcwU5FTvKmxlCFxsJ3dmkGjWHL
1PkWyihe/lxXhINYQlz0nEr72ZUtxXanvixG+WJXg//FpqJ4LomV3usiEy9dVeiR7VQAGa3+lS0I
BcHkpwRVeGaXnpc5nQ66aOwdP5R2VeccoJR5cpein6Mm6AIzkR037whveAcdHnizman8WktT80mi
HrBH2NVGNomoh25zN/d1cwdNmijnQX8qnSx4mJxpvub4tPbCDJ7Q9LhbSeRObMnq1s619mCPnXnV
VRVRLr61EpyxUlSyUUeHOuEy0MrXYGgdRGIgsCmTinNbEftbNpr81BdefJxjx9pBLSq/ViXn6IL5
9Ctyeb9ly9DBSzSzr+NodttAZdNHIAKqZoXGfoPZYBK1Vem/mOZYbB2PcPbJb56qrHpqNV6a6eGy
qt3kczxozpYop2aLEsujWPOqOvRUzRO+JEbOCK0sqO69ZbIRD+qpOK5X5EMre3fnGzGRwmgyigP7
Kry+qecNvHvpbVAUSR7W0nIJ/2YfM4Yuz607uzCKm3nul+tYpXpEqdlepJapQaXQJ4dXoWYJsBTu
7byEhFhpVnavXCLbnUrMF+nsWpdmYOaA3GN1o7q229V9P30eVmd0SD87RGOhibcAatUIaxPrVeXl
6qJb4uwwOXV/McTEPYSTq5IvKcK8dWPnHFKDJSBpEMJj1xGk5E0Mnn6l6lkP3S4gdbirTTLXWxdg
PWHw46M1zcSHt9Zs7gqraMl1YEi6MZMUzHtqOhEhUxr1Z2UGZ1lVUx4OAiRHJFug7oGaLrKWN+Wh
Gzv1y9w/JJ1XV6EszPStGXm6+n4ZHDwghhe0RF/cxdFDK03zHKli4obIEJRJsArluyUssfNyPXjK
JKgNkPJnIl2yGzT26Q7IiP5Juka5o4V2PxdtvJyWqZKEgMuUWJGOhq4zBvURa7h1oxWxh+bRj3fj
0BCGVxdqPjfAqIfI9+PmhGJBiU0Va+l2Hs3lhllYs114fEauOwFGmCzziCawuyt1B/NhqcZHJyWO
IsvqdCZHrdBCL0iysyasmVSswK8in9w2tIGItUMTkQyln6JY7eS8NRZJ8TfE8zYjFPlBTrDYpWqN
Xcp4dJMGxJl0gx1fpn7d3bhui5DX7z5kBVKZwBoPXW0t12rUCeWZvJMzclsTeWdOxyyu1MFXboOu
DOuxoQx6Kl/48z3R6+Ky6qX5wTTb/CXTjXajuUUcjmwLyHchq+1YY2i8n/LWZALXRxam5cuKDBm9
btRtYrfdxZyLPOLwRNc08nM3Tg0mr8osDoU22JDdoR+X1vhigKi8EhBujqYhzWPVj26YGUQUAMIn
DYEfed/R7WziDD2gJ+jRZ9Ma7pcgnb8S3oHmkdknBt7KvvXmtmJACKN/g+E1jYzMKfbeOIlNFnOQ
6+YynLOUJSGSJHvXCij9ri/dS32C0g85SB2DJFWbGLPYs9XoUAOEKiNtgjHb2YQEb/LecZ95CC4H
kle1r0beauGkUnSCrj2+5bHWXNksie/6llENYxZkNa3+mixVsm2NEjh3I+Xel/gqIhG36TOEneGi
q8q7ld55QtNaR1bXibOJroHtn9PsFIEsN7qRBdc9OfNtOIzxsrVpG/aVTVNmWvSIxDzKzeil9lfY
KHKLu+XzWKYyKjgz2a8WKo0619EuUo3QWRD+6klMpF/ZhljuXFThm8Fq3OfRT7k3LJeAAoe+i3XI
hDd61DiwaGiUk9kvRSlBkiBBvjJg/O4XvTFeVZXYNHbLQ8zkIjLVbB4cCaAZwUXs3GdMrzdCX3wi
x8u7RTeOVA86SH3LcBHNz/zANduzjZdJtNpFQn66U0X5WNHGuHV6gzWWrGQSgtQjvVJ7CqzWOyVI
cnxOUHoIzk0tQkRw0Xuadbcs482YZAOjI708j3xhRFCO44d8NqsTqNeQWyLb14FRX7hLkh4DX7sr
5oBLTXUNMxFrpbTXiX/IJnfcJf5QbnuLzZfuxxd5AT2uQSh9jPXcpyXRs40S0NC4oegcKrQ3NBlE
DE1lu538uLpIiMTiURSr1zTTxV7DSnFeKHI/G15ZfqJx1K6cvrvtLfqWxcc/ONv9FYzj9kIp9G7d
oC3Ylj0g044nH3ryWU6OW73mqPaOae4lu7bImr1cHcnjsvZjk5b0J0LFmFdkiX3XJ3Vzs7ROsSEL
ypFhnt8aiTCfaTdIQuWpTMCGEcsng+SvNWzeuahElhPfQzqfxRyQKel14dqPk6ZsAt+qcpvVxO16
JP99CPxE7MfBb6+FP5Dnxaxvp7fxV79IOAIJp9j7fUBiS9qXh74p1408sSDCKZKPEkp46PWy2Yil
bDfsVpc3py0/kDVWR2aRe/cFae+7wSiGiPc3h25uXUpO1a1IjZe4tzW00nZ6nYuG9DRtvsQtfTHH
hv1QEn91anPL3togkshbS4NdNhXxSzfOE41n1r1MWs2OImCv0kigOZ6i2aQJelEG5wqDO5TSSiId
JHMUTdarNjrzppstZDR+TihLwGC0SMrzNJyJvbPJj2kqeWWXTRKlvt5EKfkzD7nm1vcUVcW5RjlM
uIoRe2GmCnLFm2YwMNcn4qrEb1+5ltj7k95dKouop3pyNEIK7Wqnp2YCnh15VWfm4yGJ88zhxM/d
m9YR0zG1S2M3+VC55jx3IhIrX3oMLRFB1o7YK2Us10J5MH7wMZ2apat3jq+mVyY7PoatdqFIYVVL
Ak6ZkKPjrkNRh+TEz3WRihd3lhExQf1rlQTxhjfyRsRlu8uregUFIkg4zr2OtDgvtEMCVt5FwVVU
OaOPomYrYhYRKhYXaVxFppZmJ1/igbxQmwQ1Hmluh9s2QBFYFPk1dW80ZCvuynSXnY4rfLuo2DiR
ipiA26LaTNn9HWJL09+Y5TuovEu0hoNqNjhlk62RkWhG6dEhzS5uHW8prLDX5+kcgzmM2ppcVp2f
+qUx+gQ+aBxvvXpkPpIwezp1PWm2CaveTavQ5CGYjr2PBPt2+IdHGtBs0W89wQMJLFeSXxlqMD5P
wiuvFyaxkS7NMrLiwtzF9cLU4t6f4jFnwi39tPmcjaj6iJH9Xa8+pQXi9fhdyT5MftB8ULPkW0Pp
Pq2S9+Bd/Z53aMPRwpcGwngktc7GIULR28yrel4bViE9md3TV/GurgdNSyAlinv+TPOiJSrerZlr
R8Jmyc4xVqW+vmr2R+m3l63g32bw2jxb3HmkA3Y7anPtskB8uhmT2dxnniPwAYip/tLFOnG8q00A
2+jCHcya4cob3Q9Lig6y7Rz3iw0nJA4XbxHn2AnU1lmCjl0fcXK5y0pAq0R1q6uUOYzVECPUALw4
2OXgr6fBvKHqMzcErhHUqfoqTEgDI52c4alXOuZZr3v71K3Omgy68NYv02njuHNlhZ7G6+mFaB6m
TNpPRAE7U9hnrEnC3tCwbuhlEel8c3eKgIIoK4f5WTnxdZL7fK1khE73kwqSjcyTjPENK7/LWRBt
kw9kR8LlZzLYk1kyhnEi/GufpzCk16kdj3kPQTTsBfqDqcrzD4lfDs8DpSc9Uy+v5npJ7itn6Xf+
+mXHrC73GmAtNHxmlV5psQTV19REq7mj0I9z3rf3cVyhiM6Yue9HEuyORd/Vd4RtdujqjPaxSzvj
oyH89mPdJCTnevqFbTI3gUGtk4tlCoEKNSC3bJTEK7LovZfp1DOGi0XtXeI9t2/rtH31FuTkIVyb
hLy9VF9YROs89jNSe9WaJ+xeF+VcPuW6yB8wqsR7wlsMDG4j2U20QsMDAVDqi9QMKxJsCs59lYgN
76jeQb7nJpy6GuyhOzhzSOtBrUPasLmJU0d9Wqj6qPg1xCYELK1yfb9I2SCU2V2XBFRi7dLh2UGy
uyUh19iyoQ2OCrvGMUUdcuGkMjtWOKGuSofOwZtcLiZd+1T6zfKQJsTtha7h8uGsmUNDd4r5qeCo
MLnylR4tubdca3OzbAgNi/eDKcu7eq2TrIXrqkM7GxrkOZ1iEyWaoPKNyINtDnUesyOmLWvoP9dC
1nC6C2fNCsxq3VlPsGQbzCzWUi67vGo/NmCDqmvii3oLGaxLM9YaPAXYCPWMQ8F392gSGYksX7S5
1tUN2XX5wcW9xH8QcNPTUE9i+oAWOuf5qg00vMPNqCN1N7cjQWAeeFWrm9SZr6Tz/R0xeqkbWb3R
jEX4nyzy+xRJ6XS1JNM+1jygkGU1PX4z/vkT+7SxWkC/nan4LELJ2EAVwXAF/Drr0m8NzKKdFB4l
Q10lWu9siIRK8dZIfpHqqPn+Jk5ezMpaRccnq3B2Gs4hJ0Ur4xE5OC5smoYtH3VPpN+mILfxr9/c
9yY/Wpv1veEON2w0RgSorNqnb9hwlSHbWkfXfiVEd+UJasX4kP0KDfVnL2KAp8RcufKYf/wCHKgP
NL1SXWUsZ9f/u1q5q71m9/5Z/i3C+4UGCJSGxVf+Fxv/r/L1yw+7/vc/8j8zSRb6aH8glvruO9Dg
nzNJEz/sN7IfkMeeh8DAWfU/SAJ4cg3pf/2H5bD3x40EI2AVpCIa+DtjSMP8ATmKGAlJnws61bIg
Pv10xcA5mCQULevSi3vvccbWcJwtQ+tYiZQ6z/OqbSF8NSe4Ka0RNkaLFXMBy6dARO1HXPYXTqyP
5kdiGYurxisZ3rWTtOzI5G50NmNnz4+WtCXR9lW3GZJ5wZgwm1OE9IfcSUFoDGHeaS33o5qNuxHV
93MtY3lNpDxandWwM4bF0nkL8JFO7bIKSr/X5Uh1uoIsQFrsYe8GvMVQpPkEVyRp7HyjzSjr7Xn2
QFNPhI8eQDkthK4Vuf4pH2nTwnIuii+tp7XXWULQG37aaromS7hnAMdWVt9QGKwE1Im65tjMnb3s
FoPmfN/PJv/U6h1hnkafnPQ2dcjjTVj055uqmift5PMGG3JWFw24aYuv7db0RXMb2Hlyt+QFRG3W
YiJHMrFBR8S0D3mE3KNT8g40ngijcrtZEvq6AecvwZ/UVEjxB3FpFebDIMRANbNRv+t9SEPPxn0V
m4nl7X1Shgm76TIdjdDEarfWI4TP05X1u6hoIDLliPp9PZTF+wmdu7ZPVuo280utnJ4gFdq9dSfx
2oUdGkRWfE4Wy+mqYKMVrInGWReEAntBtRMMX1h2MoF3k8jR0jy+jo1ZI8SdGlbRyw6WyZc5Sm+4
6HVNppuk1ddsIr1XRnxmzlvGRBD1cr1wPLizU+4sO20i6DssEKCV8jQMI2XIlTFX+WB1iKl6qZaK
VRrVmPExiVPTXJ6nDHBk92VQ7VCx70OxWca3/z7w/iWJE4qev9zBXL72/evndOy/DkP/ncbp9z/5
x7nnBr9BsHM5yv5AKP1T/ehZvzloDx2Hw+wfEJl/HoOszzCq88d0DPLmd9sYc2U8MdS0/jhI/8Y2
5ofHJv9pg8gbGPMMw/Df/4jQDayZcFShiYOflW9pkwCx85s4zHxKom8eB39SovzZK2E6ZSG1Kqp+
0lKV7OLtZTJ4JZMQbQaCaHSbKVRxOkZ//5V4DYTeEM1Z9q7v5Jt6Ixk0fDiiEIQSFmMUj/p1L2l8
3Xb5RdX1Jx8JAgjBgSsOTue1vn8hCRkNrdAiUCkVb0VZvMVa9pbz97/9eXiZVYAGiAiY+Q8qNBK6
SPpyJnGA1Iyn1W/pgMiciYop+z98dVyroLnIQEJg+w6y+ParEzrTypRPJImzvph0Dksg4/5FV+e/
+FAu3803Bet64fnrwxfCLiNEmBPff3eexA8+sJw+IGIoQnec7+ZkwmMzPwqJJeivv8EfquPfX8xy
XWAxYKLRP33/YprhNLAaGnEIWsybXl91h9zHX9Vo2avus5HI7M4KGS39fUY7n9Je4x7fgZI//nRs
8EezTGtxEG3W3I8dvbcTaMUjKYXWL+6v9Qv76QvFJ8ep4Ok6d/X3n3EZ83EmgkyQF4RRuxrFvM1N
Pb7/62/yzy55kjf+51XYLH97b4HysKU2lrwKmA4eZNOjrFR9evcD/P9e6YerXiEQaWTNK6XlOG/c
KX9dOUbRv3B76T9/KPJGAE+BpgsoLb0fLo8mrhy/akQFAdFk2qlLSAWzoAJZ7GreBlQbGyPojF1L
cNgB91mzeedB4HWvT7KFKoYkEYehT/ZM1DU1+blpVrE9jq0j3hFjN3rF24w29JgshrwUHlOZDn0U
Bt6gaRn086/MaVxtdZ7u0cgT4+BNbXU7d4HJfttsjk6cxy+ykvOGUs05xIzQwmaug73KuZ4L+u4E
VsxIzYVN1md0g3FtGIgNGouy3gLmrO8HLbfBcxDu28ac8sbg8t7JPr+dqbjOyu9lHqUeU7EtrnIq
xRUclPW8n3c3WRXzoQv8lTuWbOI6MZdmM2BmAb1rwbQJjZG5DZvFIdi7MXBYAEHTNm9Hf6N1Qosq
nU+3UFCHFXm/WKRqM4o9DheAJ0Tdk28d1d5krDK1BkUgqLaTXclsT9hGczb0ATYv4s69HwDK8UpY
3KwsnfOUIGtM/KZ8dFWR7dveEs+tW5lPMZ8d1YvCCsjgf1x4T5IFS+qxsY8sa+Zen1wbyye1ZfnY
K985+1pf3UI8GF5ivppzmrfi2h3zN93gNx0JlH6q/Oxt6lV8P7hLc0TTz7vvgczMJSRSLGv66gYN
gpJdCBaBO6pn+8iJPkQIc7D7JiUiW8dl8Yy5rT5lCZbA0GYJcpVYIrjO3aR+czW8hkYDSdbFpFxv
TE35fvh+2Zd9Yp8WHTd+iid0W2R8CeQG5NGC5DGqWpF88Bfy1cOEBexLsGAlrPAnIOpKV1TAIJsl
YsLslvuMpbC4NEYpgg37aPkxjQVGe9OQuOLrpsCp6ep1d6E12fJEE+J8mOqiejOxRJ74jPOWAHk8
mLqPTCDHlt6YLny2uuH6IdTZIaHedmRB4kwqESlOgCU6Ip9wApr8BEMMCgx5h2B4gwQYukbuBo99
i9JJ2PqiReisAmJ2Ap+0cLEGngPzSB/JHkpok/w6fw2AL++CmvuIeprhXRbIct9LrN6K9v/jgr5x
72AcZ1qtdWa2ywW+01WBwE6u6xNaKqzPxqclwO5kLtxbtrZC0krl9A+U6zC0ctsBAFNyhk4Nb7Yb
NeuEeSybN7bKtMgo+CUc7AkvbYKPYYqTettNvYlgNX8zfcz+MXL3E2/E2BlJNdOQ9ZiD08pNr5Ii
mLZjUgb7XOMXGi0efSOR9CwlgIwACojvc9mNxSYVU/q1FoFzgPwCwcRdzZK2MX4U/Sz3pDYwUQ9G
LoRF+TVZ4tlbHwPPbLVBj3qj3Add8nUYO2+T9tM9cJPD0MhPYzpnpwrH6naMhXvmUejdpiM3pVHz
tnSjlJdy6GBPFdznxO3EoSm84sln/XgmTHtXLV4ZJcskhqhSBUK0IsuZUw8lF/W7JzctxbzBcx1c
WxSVeLC56+HBMUuGIxFafT5vl47TDcyCRIjLc1fYfG6zyl+zXmOYyzj9FRenf2tJXPXoM40PuR1b
p2nkiio4UF/G1Vmrg5TZSMI+kKsBhoC02aL/q9ekaq0rGc6ysotSu/BvDZfxpa2Xr47DQdl1nB8u
Hs7bhXUTmfLdvIF4hKXYsUb/Nm6K7sJQIyfZe6U1Bl27L/Vq3OTgZaLKHJuNq3jpDsTSISOjfbXm
qM8paQqiRsmxaoe5grG0dVl5bYmh2aUMufkRKnGNH5e6ujGbc2kILibVpmMWVoZNxAPfDuQBtanc
0di+n7oqzZ6HAtmMrjitUEaWkaNDGyriIcOnPyU7ORNH4DGUbEONoeRVnji73s4xLDWdGTkWiJt2
wDUrF7d5yCa+ocVDAorkA3W7Rpc68guvtCks1glPgw9SJHHk4/s/xctY3fYjZ4+WcHqogJu+kBXf
edCMOysneSJBQnVlxab+KTDG4Sw1KABFM2IzWheJrk5Pj4V6XwWJdjl02bWVWfKjluf99Tylw2Wc
L0+Zbqknv8BP7c8sZdF8O4clyJYtM/HqWmhdfFMWzx4T601mITFJ1qXvkD1wPz92UmdV5DfaNk2q
NgJBQZ7J3JtE2M0I3137k+Y0CKM8HnorQfyoZWn52NacvF3NiaNXkDFQS4g1LkvN4vdD1rV7uOb8
Bjt6LxUWWD8intsoYOZyGg+A3O1uX6dBaBqpUOHQByhj57LkMMtp8tCKmTlLaiPRi2OtWj1ApIHs
si46BkAzOuwuRCQKq9pK2kEPnVi1Vchgm50xe2/VWli+sA9jAfHH9mSV/bhB5cXQZQM4gXC086zM
qVp4+JQd5x/Ck/iuNVUGeqDIU21vgxFLTyoPLMnWpmLJdbLl2NRh7I6Q/BAhBFC7Q9ZA3ls/56kf
+rKovgqHbCkjS7wjlk1hRODVun5rtY6+bfuJc332VyZ0NHTDcIOhFLt8bo8BCdV+km8HkXb2ZrFG
Q2LRNPoXv9DZCDdTea9yaypDYbjAMSiu7SzEwyZPsL+KTSb0T7Y/HkS+CoRmqwptBimI3ri/ODjk
rePk2qUBRQsvgVeROm+b85771MRZlzPFGkt/OJgt6X5TG78WqVNsIUIUW1OHzN94rfERIvl0NfKM
NsIp6fRNbZujFgWltVxxuyafk9IjSq8wei0svQlJa6lpx2xioI1mvOJ8s12Obxss2OqzZRejbNIV
kF6nQAlAZiMFmh35i2H5OlX9vo4PWFgwrXRIl2FG+WMLJsgR1nx7LA4pJkQWg3311lgt36ACw6Oz
iLMprUqwBSDBc2O4gktC68JG+FoYlFVZV73y4KpPvtn6m9mkz2D5BsQDr4pztk2oNzW2wovC7YPt
IFs8+0hVHHbX3IMW4mgEdV4V32ObtF/xjsDPCvjLnu2Pd8v2nuM2nidSkbIMvdF6BtYIjPxILejA
ftHS/IwmR4/KHAQeLdG1q1j0+26jX1iBjb1eHlqKiY1rKnlJMrru4SWhZhoos69mC+FjaC7UWEXQ
NWcOP+c8wEfLQiP4VdOKHfXH3wZELNYo6Ihr4/9j05qYCecB76erjMdRn89dwfNFedlrXY538cwj
/6+boJ+6ZC4GVie8Ei5zZj5rY/tNP97b0qkSJcqDbClI4cXiXKopTeo6BcACQOt3Q+P/mvj4c17L
+oKes4Y9MBf/SZtbdxR7tlusOcit0kJOzGaT9bUUm5wLa4D9uS16rjUXpcLN+yNYYUBz9ykcr11q
IE2MC8hLYIvlfuqpcf76+zDWLva7Lpf351BRrmpNtMg/olCTUcU5T6/iMKw8DEeDlDJM5H4gzPjY
Zp5GmLKQoZ+n5g7tuxMl3d9OMg1YF/honVZqOj/NDz8JOVrKJdgjOwT023tHS4BH2epXx8BPEwte
hUEF4deeTcLij6fAmI0ydnHaHFyb4tkl1DSq2TtG+KvoM9yiscKZBflVWlD0/vV3bP78HVOiYMj0
AU8bpAL+0A7PRmHLrlRE8/QqiQ+lDQtFi+PgBd6Lc+4bMGPXgQYRpWbDUbBqfdPQqm2ZsDtJBIc7
BZecdChI2hL58DZhbL8jYbg7UH8HF3lTw2yKjXg4anFP4/r+7v+9oPvFgm6dofFD/u8LujPWg/Fz
MX87qv7jD/0xqvbR+ZMDzKW9QjAw1//DNOAHvzmgTAmB9bCSMyrmivhjUG0Fv8E4xc+t68zXIGh/
s69zf8Mgy3W8Eq5dbtu/t6/7ab7FAnkN/nlf16Gx/2G+ZblW2vlLnJyIoB9S2nieR8pIlp2l6mEP
KSI4SeYWhBAdBRYgpLONH9zJRg6HDoPQ3kKxsdfRMem/GjebfMbvDyXswdju14xeE4zMj0fC1Dsz
7j3fPXoSfc51EBT6tU8dyXtAWwnlcmzuM8PW7G3WxeGQkDarCYnMagrG+AtLKOO2Nxy/7bZi9irv
acErdDWneLEiO+2NZxLOBrfbllKwiZOuBn/OYbZ3jfvM7zWUeYPmH1QBDtbWC5Cu4LYgm02od7yi
e0hnmRyaSatyRR1Ttnd+3NOT2R6CxlAr6uDkd7QdjYn9a+qCD62PIHNEEOlbNxzt40PQiDJUXVtR
CpQoXsNR5e2naq70O5qzBvmNjQgnAqagAwZF7mOwCDPT8oRcFcMbGu8S/izbstu67TeFStSOeeEj
nbO277KlO1HdGPuRBejnTE874AfOtHHz/ozE4ySQcn7w4N4jy5jmvdfTbcRxKk+ThtUw8xasVWWQ
u1etbc0XdZLitUUCSiC70dxpdvCsW3kfamCAGhKcyvSjifrGC/HXqkvObu2WbIhgirx0ZrObyeki
8ZZ7nR4dYzH92QRzCOGSco1k5xea/QmqQR4GIu3DCRvNEo2Wnrl3ul+IO4nsEquZX904cvHQ9Vqd
UVxaddlbDznRPIBgtex6WdqtPccm08RSfZh1fQrr1KqJwxYOpKKq3glvSIvI6Mi267H3EFTuGYfJ
isUW9Y0WWouOcFUXjC6WQUVGm7i3fOvtGa17t2O1qp8S4glOK7zmBKSpTDZxrZcfxWD0IPua/K1V
rJ2iYtTEfdtny5VVm9OFRRrWF/xz7s6OhxYzNZ8eHu/qPpTdaoUkc4Dv3d4trUKDxX4lfS247EEL
dlM0cKWFC/OVO91DhIEIRJ4d1ZORDLN8b7cpdEZtqdGSoStf6sG6Swfst6OOGzTpspRLuqu8eKdk
0c/R0truR4f/yKrp1sLYD8YtCjbj1Uxy8L35PH81WVVfQgK1N/4EsMsWNkjlIc/d5x5Accd4MTWO
pnSh5TbKmtNoGbx63ssGzmjoOX0PLa+tPDrloAWHDM553pRJmTD96mPtgzP1lJm2Vg7HYOqMcyCc
xtlOfI9HYhi7nsa9TC9gFtfnKcUaYQGxxMaM1z3vJSaG2XTysPZj+3OlbIVKDkslEiJRXwQlcj7U
Xm1xSYsT76wGw77pZ+vdBSDZJjnJjuV+LevRobMiufUgTTl7SK7usRi6hyBVyydPLtM2Vr19DNwc
54eLOnojDHTtnITqWaazj+UQFg6kgmSpjQ0hpUVAPmatZjSGnfdSx14wbpy2w+fRIPGUV1YlQPcb
C3GgGB08ejY5pNUF+F6Iy/j45bFJ3MbZ9BwiaL8RqV5jMXW7UGbkg/elrW7dTmLfX2qIc+Fc9+W1
zY2xV4zF6F8a2Wi7DgWs3OAWdK9cjoMzMUcl7L24rB6BDrd32WgNzXbCW3kZt6q90Bhi9NAKWv06
8/Pmg9eYWrkxxsze6A3/3OUaRX5rzOlJLg4KXTNNbzJTFQ9A+uoPvoPqOZmxX5PYiaNIYP0GG1kU
n3P2hHWYYbfEu2B17g30ZpDXwkoW2EVtG9yZlvKzracjnEdziR1zZ+tV8LVbrPY0V4Z6Rt9eMhsw
5J1BJ3WYGiT5mouChBS89KCbucSD3ab2OSUxY+cp2d3j3F7ykAlhekudS6gkw+E7kDAVtAjKoxsU
TgIrLNbgMmLk2r80M0Cl0DZqToduzsstvXzxmrarJsUxJhoiRONoQnFnpOFs+QXIu3lIr7Vp0IqN
I3teDpMCeDRzDu4CLVW71kNIzayZl0gCnbkiZ/Mun6382BXwClrltFvOhumYe0X8EYykwV+46Djn
uckLy2I7ojc1WNaFJQFibLOOmAl5F0biACP3ZhOCtd4buAAmBaSGLI3xPPiu+/6zHTQ/PVd6p6WM
PvmQ0vC2rDM/55ausLviaC3ayXrMjEEcc+H9N3tnstzGtWbdV6moeSqybwY1KCR6giBBUmw0OUFS
YvbNyZP90/8rKSvC9o2yf899B4qrsECAyO5r9l7buw2s2OBdi3dTqoAT0cmsm1GrT6ng1j87+Yme
TLyPqmLZ0hUrDBRjGBmFtvZ17Gl1badnsHfezq60mhfMo3lTcqHbqyHxhzOuAD3EbUakeDwBLW74
g+239g0thrw0+DaubEcC2lXELrzAre7feyYzV5gQvXVTVONuqUtg6mbVO2epA8l18hJuHanX+xvW
OvEJhQsSfh6nzZXly1ExbcSEHhpq9uzFND7ZrHWawNpODeTN9Th3+qObtm25ka7M3uzWi7LNFCCN
pPmPTIG7RUNM1OYtYxE/9oZXgLZL3muW9IATe70BRRxnj5RwHC7E8Xba32i6nd1NunufjcLZpSlI
741lIy6CZhBb1yoZXOSWpMLciKy0D5RY1bepEu22Za20rlqd44WhYmJub6XlN8thRqfpSf/dBGi4
0YkNWB6iTXHtS2WcFLczriI1zQyMEfCvqLsAXDCyEZwgnpm90u++KPgEawcgvw1BIqjJqEQfueKq
02wUozADYBAIPNcaSqI7jHftuUrT6WK7RnI/5r1urV1lIBqGF6htGfTcAULgYY1M8hoPF2knFZfY
KaGddNbBqJRCgp+AC3UKG4kozpu1SCfvfSAy5M0PJI0jKU3B0aPvWQpMB4diAaJ0Q5xIa68aYEoH
P2XtAEC8c09EXsw2pPYcx/qozZ5ceWnan6QB6RU8iUV4b1PimggpT5onMyX86YI8rLB3HQ/9C1ct
Ogidc0BsggrySp+i+wqJvi7lHtebPQJMEDESaM+m/qpyy78fR4PUVKRbivNrcgk4yLjRxqAJd37l
5ul1E0/ZGHJrL84LRemxMQN5Z1iD900KP8UWQz/M2D7T3qHWo9ZiTlayOGuQymsL430VGzOPDKjk
3S4BDnNrJlFc4EzH1xR1HhbFkk1ICOlQP9Q+GdhsjHoNOkDnorrqZGy1V64/mdVvGeT/tnV/19bR
Pf1VV/e/TcbV/ar+0NV9vuZXUxd8cdnDwksi08n8CVL6zQse2F9QX8P2IKOCnEEnoOX61dZBZuIl
BFhBUkLG5tEM/pJhAlJcnM5LawcYcZEm/RP9kb/s8X830TFI0MbhioTGQLbMJ/3TTG3Rotu1CW3Z
yX3U2I7Wn5uS/dAs4vGI8YWlgFalU1gNw/Qd9rd3cjJbgpNh9XKHG09fdax7XnPq3uvMsYPzXAq8
4WmaMCep3XIdKds7x3mv7qa0Tx5omvJd1i3C9cg1vlUQzjd56qUMTF1mGEq+9SpN96PmNwk40wGf
hurq+V2vWVcm2AlYXY+Zed+ohDxG1j5XwrMQhFoKRm9bXnPPSRgyi2KtpUzjWasOhzIpmBYXmgux
RYu8I8U1l7TIxxsQP/muzv3gNKmopzJ1R/Myal1wZo+rXxtTgv3BmrQetbolt6bHcs+ozOjZCJLg
bGjZrYEF7lpA3511RueGK/AcSJs+QZe19WFNE4+eYnJD3+gZD7OJaG+DiUAM2OMWTwAKXe6f6CjJ
066/Y2iTW6vhCS8TAPJM/7Kv0k5duRpzO93VmIL3gWoRb9pDge92MsIWXPNT5Sfipu3i4dKyNn4P
pmF6LpvOukSZP+2tKW3OrpWOF8YOQGVN9rJSON2VPro0klY3ss2LvG3d5/3OMzJ+jWgcVxiVGHyW
uIYljPjvWmAttGmgSgHGyzI62EJjm5pADsooRyhLxXWR1YvgXTtAcskQXVbzE7MsuZOydz6igEpZ
pW1y1brgPAh2EgRuxcWtgUfG3KL6z460gULbWHPaMdWb0scIWDo7KLeACILvmb3pcF/j6X0IWGdc
z8ANr5nKj9idGitBeGADcOn0/B6AZ43zE6cGUIFK3ztjTkENf966zNQH1xHkve3kYTBkFOB7dyVQ
/H7Fat1n3Gr1Jxem5y1bXO9YsZwT4ZKy/A6KpD4L183309hZV25b57uidhMsoV7yLLHdnUtCOy4F
1cB+BIV0RntqXZmDU+2bropuWiIvHtLZIpajUPmh0DoWl2LAUVc6/tmUmA4xXbrX6EeyQ2IgvkkJ
VCgg6in26Xbs3OT1cGXG+CD6CpWRprebLo7AQ3Y+vf/EZn1j1sJ7ldbww5GYD6KJpyqjAocIBWGz
VwO0O3ml+WjZ2fs0WDWRzZFtvnh++VD11vyoVD1hWC31SxW7brkaiQE4MufVY1wWWJTjnu0JqCJX
vpKAm95SG0nA82i836EtxjuIQixi5yT/6id6gTyFyAWdLddVGnEQB2jjBHEAFsJ6Dx7AUu0bYsu+
WbWZ8cDs8hCZg3uksdiVpe+yHFywAgkLq4tlGPmdI/K9Ow3t0RVzebAzdqKqRgnScbN8wYCeHDyn
wOOVQNfyVMsiuRzTO0DE9o95hP5msacLZx7SqxSP5bOna+NXr6y1S20WMNfbGs9tE0OCwpdc32rN
uB1yV17JpvfTMAi2TpsWO6EG/RolVr6T+aUnl/JZE0g9MtciDU2PLKjevq7CHKbiudT75t1qJz6J
ra8HffR2lTGMmz43OpannuU/t7ixic7RCZxilTFVm3KeoptZVdmOJmJOQMM4Xtj0oxsgSqc5jDC4
d+WsaPSqDokPUKKvEZguGg1o2zTykeQ2pyAxBnWjX0W1rK+BjkEPM7TnFLO9j5tstjZJHngIcaQe
Bixlw1xLcAdhNs91pW8qncW2mWYV7Jt4vhJVHFycghmbgo1UrJY4pEuytDieV4ZOWatXN/XGXYpJ
5lZXBBXjGLL0c+8vcDVRQEOADuJuCtrtR8o3/YxwJn5qfBuyxdyjmGndPU/EmSQZzGKobfAf4+Q8
qRSvN5by4MT0u7lt6TquYX7IR00k+VllRb1ZfItblKDReobOhSZBWk/ZUJh7t+W3bISPDGBMzR+z
F3VkdAT1q23J5eHSzfZzjK78a4v6Jl+5SRawXQ8izGZxtmGTTRSpIeJbg/Sq1RDYeEsjOTKd4qsv
Y2deT1Nbb9Ro+lewTtHgQ2+PbyzQEZxoBtM+jdaFI4sCCkI+HF1k9YcsmOuvOWkCCVbUTTaJ+Taj
LN0gu9SJl2n1OQ07rbRXTjRuXUmGu9FHJtMkFC+DNLM1LlB/1Rs8bhMu8SslzHrvGf5YrcAcBS+Z
6ybrohz0Z0BVYs+dKaabMFlFus4tKkXtvbY9/Vi3vrYtIk/dGAn8eAcZzta1I3XJp8H/Gg0QHQxd
6vc4zHTezoOVP02au6V1as7NJN9KGBTv+txx+++adgb7Mdqs/q3BYBnNlhIg3pVT6kywVmWD/mHV
sbgoNPZnkLS4oyX6xbd0pqosoKOHzqEQYUgpyesqraC9yEjm+woNAzNAVDAZwy0yI1ae8OVHgLr4
0OcxtmIgTDQYxWbyy+K270sWU0734jROhOVYET3rd0P3lrXui5PEr7roPgA/vfgk7ZTGTNHNSIj3
k8WhgYCzaWTywGCrPtYgSRBkZCZw/6F8ZyM1PjWCF/YloOdXN5naJjvWEb9Fd6ylkj0AE3eUs3tN
qVVGLPnNTHc2iVlBkCZvIj6NJg1rN4ydf0tu3+Q+K1d8wJq2/H2O9TF40abYrLdaTzo3yU27DrDI
vCOzt7pOaqlVLzU3UGqvoF8bo8gwtU8RnYGWNWs1pOaaIi9jYjuVx65JvBdG4vIb8PgovRVjnF95
sWM0DwS5xIIIpyyfS9rDAZ49yC8n/U58rtK+OlKMzgYshCgXbW5GOI6XWFBZ9GnXBFW57V31pDww
B80Y5Wt94ki2kf00auawdwlHCKei7c78y3Eb5B7lJIEFSWOfOjT6mEsh6a+yiKeM5vXanlrkazkz
mYyxBx15gmj3sZZEpxFddxiVxnTugWCeG47mkUnrqo2T4dVm4XVs4OCtlK11O6Mcwcx1S7llzWbH
dIIuP0kOmdhmHhCZnhZ67+d0uJn0kx1ubqLdhH0pZpLZoFJEh9mO2gNYenFsCjM5tnp0An6CyMkz
6lMs3HY9QSP81lkovv3RmVh19MjaEJ8A0dTFIjUCbAYPd8TBy3ymFeA6HQ7zvtNBmrW5WewcOP4f
TCgpo5nbJmOyWthM30k5dv0npXelp947G3+481VIm4ojTCSZ6vnP7e2/TdzfNXEsx/6yictf316L
1z/0cJ8v+dXD2V+IvwTmhRzEZ2f3O3i9738BFmZa3GAZY/Ani+RfPdzil/McejR8d0jfA9QMv3o4
/QuaAjbMDpp4/NnBP+Pk/rGD48kCBX/5FLSKpm79eScP58/EOWVr+0Bj1LRkksz7LrDVw+++k9uf
LeHvI4L/LIxZ3sZbek7eTff/Y/E+G6oBac91q2aSx7IKbY7V6f5NMfQIn//6vf6su+C9lt03XHCU
+/TPHL7f6y44FqkKkDbvJ6MKbgiOQG7lLKrkWR9va7fgefzXb4hH9z++RY/buOFgk/UNC1n4H99y
JGlCGh5PzGRqGJIJgltOVdOhLau0onJCP4BLjrfSMresp3pr7aABmnZuNZiMcBxkyk6PenbVjcT5
1EsgScDSj+otaPS3EqbGSQYq2H2qv4e5SXYFIRmMisbyODXowPMMWWquNe3XT204NTEPA1HABJ+Q
HNpRiiDZisp4N0mdNJlITRvZIpo2NXv+EZCz8xhndvPo1dG1jjICuk1ehrS5+n42rezatikbwji1
uoupuuJjtubqZraG9KtJpCGISpFvHRmXsICKPkS0Nuz1SqAFm6UJiUev8K5PA8+GkTFia6krz2ir
c1P73JfzzHplzQUcxR3kegY0tZegxnkEj4Gg89XM6l35RQFMphhh0M5xR3c88ESg/tvqymRgmmnB
kK3HuPEUg7yJJaV6QZ/hTOqEf4PpfekBjRoE53lIsiWlkm4V5RsaW3LCush/SoPMvAsiPYjDQVfB
99RXkAnwDXjlqjCnii1DmhAVQ8gQTyLfit+yOF8ACKWd3+h5Tygk9U918igYrqauHB5BPyKqFEmz
Ns2ccy/Ffbqyk9S5SSzjLh4TnUlEOt2xDHA3ymDsW3hVv61Gvd1CS4KTNVZu8b1ZmO5xGb9PTVqD
c0LtHgV+V68YVMbFRvHlxISsXUsCxp9sqGYXq0zmkz4LX61gC2cHt+x1jQ1SKvSVVmn3tgvckn7C
3vdDiVJwSrKTnkbd90i57VtmLGuKOZpdJrdtwiKS73TNk+xdtnk4GENzButELpuXfyc6bEDNYl8J
jWaJTMevAelTnKR0tvTF8Qof6RiiIwJLhQ8rDETiYnxtr1KtsVHx46oNXd1PXx1fB3Whed8s8Ebr
mACYzei58k4MuXlyY3XrjMNgrBCb2ccAxtt6dMweU6kNy8/of4wQsRAMae11ZpbzWztWU8iRdd7q
MctukqA019nctnfSaRHitP4d+6Fk0znzs0bjfzbn2NywdlRnzZvnzRAwJShLFJKREfTbCeJVORRP
noWXap/Q4/Q2ZQs7uveSmt9cib5bpMVkZoPunPyaDeWs0n6dRUXmbFwTclA45RIJOElk03jIAz2a
ipDiRNeRKmvR/JipwcZUPJodmh2+iApiyMQg68FuUj9qc8Y9o98PDx67IXDQ1FAM3hfukiYymDUO
9lRytZAi7AYEw97zCBEGGSSRhc6BQGLiW5Ncm/ytSlWy7CiL1iXWZ5gjDLMO/9Kqkz46u7LpYgBy
TTncRq4WUYbXrlTxVSCI6iSxUgzOi1nHHQk5erlA2YZmDMzHtBs0ZytHZJbfPfapxipu41Y7gsmN
uuY+K0RZgG4OVPaiOXV2HyyWikYvuQ1Xhefse73NHz0xgesSlgmKaMBFc3TGviLQa+4R/aMtDXZO
a1nHwQTcZIzYaMxCY8c7Im2diKAKjAcTA2S6UmQ9At4Vrrif4OW9u2Yp4EixgdvaLL8OS64Duyu7
JJigI26S7h4/B8ySTVt0lLWFFIKL3ScdAh0KeU1e72EFcIGu582iWV9cKCVsHjStuMw5Akirxob/
J9lI3s9KR5btlFpXo5sfisto2fUPG/nPiQ9CwkJmYtip2ffO686FhrtppqE6+JBTbqA7uq85VhmI
UXlvbDG242oZmIWFmV/w2chH5r85Wouhw8f7Yum4nPIsdee1PxfVfVTECEKRzHZoZmE8d1y3+frz
UfdvFfh3VSAN+u+KgvVr+/pfaLLIXzm/Fj/+57//F61LVf6xCvx8yW9VINoqqK66YxHbjBb2syj5
bZJvkKPiUx4uU/TPGT9D9l9V4JKZwqt83/qMUVhkXb+qQIMIo0XoyZTHcAKYIv9gkI91848FDCJf
h8+1bASY6AN6+JNssJCeUmPmDmRugc6U7sof2gJXBK6nSr+q6s8Mn1R6S6JPZhZ5oT+1mBmNTfYZ
/GP+TAFCYIx/IkeiXBMQ5PWfeUGJy4AH9WOXlgm5zjV5aeXWRvhVoD4Opj2qr0EDWsi6j4yPpstB
IjKdaruyra/LfEqBn/YJjzOCEUqwDel4pKjq9QND3el6soV4SC1ZH0vNBRoPkGAABhqFOsGUjFVY
NRcEDxfpyFXhIHl5wIPFxQShEIlsgBdmgdujQmB4jtMHFDlFm0s7fjcvSbR0YdwPylb118ibiDo1
45Y7UkMiKinX5AwwZx8xMY2ILjEBBRUTyiKS3jkIWsT3iiZ3JzWt4mcuxAcaf3xRGswCciUhQtQC
NkT6iYkA0c4PLu0UfESxkCRMR5Qv7UKXGD5BE9XCnMC1xpMi+kRRkGcxrxhiEU/uSEgVC7NCzFgN
QoZ4KADGyscoIxqHX9T+pF0I4PqnwWENoUw0abaRAUxixGdAd2pOQ1UZ9dqzvYGV8JJpnGSDc3C5
Dz0GKWxasx0CtUtSW7Zbsjp1grM51eH0dpN+kS7qfW6BxQ5PkSBp1xnRHKQtUDY2Mhr1bdEj/XZt
3GI6UlSeLX2xx1bDpjfqO39rDsNANEVahUVk9hGorZYk8yYClsq2PR8+PJHoRBeg5cocrsbtUlwB
wrSn18LAoLYNmsLZddVY3xslOI/MbfNnBpELQbZnnoYsr2VYEi/REI13A/GCQDkzpgePWaSGdZyD
ZdKN0eg3UZTLLcK7kRlrE9yMjqypahq8hNKOAEiK0VtVVpHdI/NhXezEHcVQqlUHPDnmoSUue40N
V3xbRlTsBVIjeBNFb1DOq7bPIBhK80GwtjkMyKZgj/fQjoJSqHvf7t/1wdHW/eTPa/iiE1j2fEoO
lVdbRHlGY48MyPWNU+HmmGNix39ZmoodmCKS2jFUGQayEfAViuejtVZCPjh23pylr89vSA7EupPR
9EjybLEXMw/mUNP0IF3VGsNOAk9w+FRjeSbLOqU0Z2GfrMwekheiG1ISYlF9dSPZrgYtKA9lkERP
LYUnOoZW5HcZm8BQzUiG+rbYtRUT+MYTNo9vO9MvTiy7cALZGmwrvBwDdxZkxFc1i2jCptv6pilE
sMV8lP8ojWwi2FdV5I8Tj9yT8rkqRfue6uiGyAqF0eEn9j5FiwXBznwdh+nJyRsHfmwUjOugN70m
W0vL4TjCK5Fx3bm3g4JxyttmDnb15t/ZyM+H2988FT3mE3/1VCTupvzx3ibvXfv7+cjPl/32ZPSM
L8uzzXA9Exmw6S8+kt+ejDA2PAabTFOI3iCDw+Wp9duT0SZhDOgFulz22z8X2b+ejLb+hfU2Hgbg
HJ9P1H82H/n0hfxuxw1Ogekh4xE6e3ge8Dj/2Ns75sQaHuj+nmwfY23GCTPHuQxCp22fJzd783VW
v3U1Q+HqMCJRjyEvHafs6JMeHuqt/wCzjiDQvM2uxy4/9b6tAO25rOwaCwsfQjYv5bqeOpsrid0M
D8dCXzNJRtHhy2Bbk4kdBm4XhF5gXmrRk6NFIMQqRZ+3MaSHsogCdcVAsQ9TKl1S76W+TjP13OcB
w3EiaWRdmaHrpG+uVuvrvOCfZwCPQ56UzaHum2cD2ms4Oz14wdnRNoXwHrVBv0st461H2MRr6+e8
SjDytXRulZeE0JkukNjUyiz5fdx6bDd6I59dIyXneumbsfBaRAlhrh2J/lv3GrTVxj9EZdtuSEKo
sYoL/AVQB2ELfZiZRtSMy1dZ+Y1a65IfimYamzV9Jb8CX4MO3zaBIyga/hWC1yTsa5s9mDDVimjn
ak+sGR53hKBrV7r818y+LHkgm+WVWFF9/MawY2dzWTJOfAV1brUbNIbzJaryC4TnfpMr3hIhqXPl
2JKPP1gYbiUfyKrdbA1C6mumFospEc5rJtUfUymrvbQW06aYWK9kEzffAH+ayDWD7yF4CHT2rOiI
IbrrKTZ98sy3dos9s4JvGTZpoB7Itc0Y8LAprrV83tazPu8Hn2/PUrzp4HgH39AIDuIkSSSWy8lG
il17nAfGZKFF8vFt68HDgEoAtit/FLpz6RM+VJQSdssWFd5m2ql1FRXj0Qtak3v9cha1/FsqzHMC
6HEtK2VuvB5buivcka+JE4tijAAOxzlzPn+MAexPRnv+Kh+SN4aKHPuZv6UCSGRvaOV6aH1F2Vfx
moJvCbUoBmGvnq91SRReo5rnz+NdRH656lkZkhTN7xvFnDJeQFtZSZYuHYiuI9b9Dy5yzmrm3Ojk
ODt9j1OlWq4FHkHT1zzmr66fvuEl4PiPAYsmRHTnjq+LGuZhmjnyg+Q68bBaHqEIztcx69ow8NSz
h+UudD2OsN9xMvlcjZ9fRllzUQwa/5SMk7eC8dyGEF15zE3lbGzBSZtnShyhNxh3hUprcGED4lhm
m6G1OGXmgnyBJqvAcDU2X6ne8xmiWF0h9R93yE+MkyVFQrM4m5sMOWzIGp3cG6yoyDU4y2gSQwYm
2bVvcqFaOjcCv2fLwb4m3+hcJwybkksfO+fPy8tK53mvGxAeR5v6s6PiW1UkcxPTwuG24yA7RrFe
7kb2O5veWC7DzMc2uxxbbYGJagJKMwZ8biGcAmUtg9Aa+G4+z/LZy+ZtVTfBjpUqKsYiD7YUhvl6
0DidP0+A5QznEr8k9lzurIkzNOi5vu05IDRxOcxtN1hcB5xG6G7aTZ8a4rVOHG3vxPyqs8Z7lZ2h
7QW+V4SoyRtLLQ6BkX2gDYA8QJO70QFKhwV8itAsDXHUm648eYk+np0R7PuQvmlRMq00byhP0GKz
DcujJIQ9CjvX4ToleMI4TR6cYs/lJCsLqzxpCkgnQVTcidMCkRY3BwOFezLauyDOFdumkR9mDH3I
dByOLCZlHOiQNqWpmsPgYkj3SlA3Y1LozDoda6PlETfFyODmNnDoyBoOdqIzL7EFD2E2kK/XgMUI
d+z7kFlpDVqCjzB0SK65RKp94XMHI47O+nlvMgOSFT8v2j5xe3QW2gM/O751Gk6JxrEvOD4YIAuN
uBy0Czx2wH1McqypoRKOXwXsLZZ6eRpdGyMtEBPaVb6aiSvg87smyDZbZwU/sjM4rnZJAU9ek1pr
vsMtcFk+e7kmbk1WnWu3kvnOF/JDLkrJokMpL6h8o4T7CTr7ZGs0zTvCW2dTapTRqBwfwUdXm0yL
b7UBti3Ny6INjY5TQtY3HZDKDYZmk74xs4FBD3FAzCvmfP6WOURArFwqAncT+Iu/d56b9M1Mq3HN
0htbIGrUByfK8rUi9DO9niLVHZMBvMbK0kUkYMsapImlOrVjXCXtbRzZLkN5FnPIlJqfpuis1TfU
lVilkRJgm3al1I416ZdaW1XfWR+824mOCT2yxuzDl5Y20xJr86xCbv/Dvi2bahsU2RjUq0aTsFtT
PMpFamNriXgUrU3DF9cB9kptm1vlAHLcjH2PmtlWxb6d5lZ7niK7D2O2AflJoAJtV02TE/klJyCe
Z6d3zWkDo0Jod2VH+RB77t+sZP7DpeixWWKZznZJJ6vxz/mIeaCZs82SYu8lExvaOf5IFj+/VfoP
XYNF0Wm56mxcwj9HSP+nTfXP6xnqKQZeqFhMcJCepf+pngomvOBBW3d7Y/i82XENWkn2vSTBjG39
P+ZvLe/mubjPbAP8lv+ndyOXWbPp97t9PnGCLJVAkCESg7Sq/zsa+/9qAujxDb7V/9u8eL8gQP8r
fG2qPPnjiOy3l/7qBPwvDj/KY625GA6XYddvjYBvfbEWk57LM+U3d+OvCZnzxdQd/HWmhZ+dZoGz
/NeEjBYBW6WDPJbNHEJY+5+MyDAo/XFExuCO9COodPxMxFj/cd52iZlhvk+q/chIeNgEcWYNTLBw
SMXMubZuadqQkCBhX4LEwnlvJmVyHlzYS6hNwPgSGWo8pCKxnlwVT7cVo+n7Hh3HNxif7CVZpyHF
GWZnXzdWsXDyDecqYfK+9jJYe+HAeK5YwyJOicGjJ7JOoC/jc2ZUXDfcrq1jN0tSEdht4INqpok4
+6xzQXsTbFJ+qIKmnyprsreZpuybmJ3CbRYLXFrV2ANilpByGjHhV+EQlKBIrdiMDz2hA8gFJ/fa
hOlRh60JF6srllE88BbsVYleYviR/Yte8KHWshDtD94FPWRjUyVB8CsVVRYItZgfnEPkmhzrMIrS
bUJGNBUIT21w9uiEAg/ppl58wP919g415a1bOgME+jkR32fXgXWDLko91WyK+Ll8sidyhNUTaqXs
Dtcm8YLM9slgEeVDrfzqplXkulyR4xIBlu5MRIgi9rjb5EVukItkIO1czYRcXEYQ3dg1ar5IyhNB
qoZFlMnKTscFNjPX34zI929FXqGfG+dGN9aC8NlyjQewQhVJjIYzw9+oAcVkhgxuHRWj2UnZve8V
398WuWVwyt1E7uC7D6cYQct2jEnpCROnrO4NQ/oXzeZsAdxVhCT1QdmBPoQdsTEeANvYh2Ti6PCc
xeLVedVN1sheu58XwJnrpcYRz8MQyjzr7HXC2lOhui5afmfD2rIOlG8D+K4XRKTmU03+BWnOBFa4
oRM55GJrhb9pWNgsI98puIw1IPNpsoN7s0ki9heQzTe46DQa3t76ZgqsGKTnaY65bmNtePVnMjUz
ZQSnuraIy+CRHh3tkVkvpDPK3EPXTbA/EtFpJ5NF0hAOpod7RR/9Esa3FSw5G07mkOY41N2dZ1CW
EM80Brc11ArgGA3JT8h57OuYDM0hCq3c1nQgASllXegaGLp20TghB2ZFmw41dSBfRLOf6Bn9F4mF
GOp3MMgwrl1LcHw0oifIFu/kAEEb4nfUGGh/9qJigXhs3bpDwyjllDyZtQrao8P/GopzU39GD6Xd
T0OjaLLEtVcU/VXSt+oplsWZkio65V2RBO8pNHUSDUxAT7Z2xJjhlWsP9u5XB7fpNiEjDONIO29E
M2Vb3eWvrYUzUc7R8Ji0ZgIAPK6uVRrLjarbu7QzYvZ3tcnuNKWswBQUD48uFY275/LWHsrIEjvc
QgBqOgcbYEjWGFk8qSnXbgZrSGtNFX13Sj7DnnH02K36zuzWzOLGKw2C/AFBpbPGonRXzf6pTZU4
pBgBySGuxuOQpN3GA1W7sVtQHRLLFPlM2ncHI6xEIxiS8LQbfXIzp8Q0FvCed1bTeI+mLyLaddj5
beo8Uh2Sx9R13Wqeuupm8HV8LZZJeNTMYVMBiN3FFdDnAnBv7ZIQXlJoIVogqqBWP/D5nPGaihfZ
ZAPRiTK/L93ev0mBwIdTZhPGmKv+1uiEtZVwBjGHxdMOJjx+Sn/a5bbehjEhKVvoCKzGNF7FiDED
t9Lg+sv8+aUSeGpRHdzMdXMNeZRO3FyyfayqYfJb4sx1Nf26acRwQzIYgwRVvWE9RWicGP4mIRFi
S6h2iiLDUWFlmHI/VxVWm77Xjinh8oDmJmTmXvStSky1jgwSWzNvghIXdBWSiKp5wpaNaqKI2q8p
kkhOjEHbRc340S3cN3BR06ZtQGr1him+gYFHNYPHyj64qY2nWWOvc+iQk2R7q4DzUIKG2QYBkxt4
ybBhkDnbRwxaeUgahnfpahaqybywEJflCDDAgrPCnb0zFoqS3jybk3Tjy6S9C5QUj4F0uGQRRwOb
7+LzDMb0DdocsogZzvQziR3F1ugQYovE9LeFgiRYzT0AP2DPTwjhtU3bL+FUQzmfS/occkMHEG1W
scDCuvKanG7tBiDRoxfJQg9hdhMMpHCZkkllMIUYEXizEU6jU5AVPoFopSPDvE06L8xMi9004x78
81glqFrtKuxNwwJwJZAgFDEeEK1GVuNVwt95yEGPWsOIqGE7vZJapz22ta6eOONKuU66ob7SrWaJ
s60u49zqZyuFY+23fNNdzmlgD1t9NFU4GrG9Nwn6XfVoCQ+N8NIflrKLH10B88qNrQKYV8vKnOeg
Ox1LZqJWmE7SYTWQGF+ruOvvaM/970TMRJs6kP5JCvObFnQfmMiiZ9dkBrNEGoTKdr6W8JWuuaYy
MFAZdhKD+9w8SUGMm41sNv2GsfQdaJCzmyuSF2bBGMNKpuepnwieygkD8bzmlXA+Atss/ZDFY4bt
1qx/RMIjiYfdxRpqaLrvwRtWoYkefDO7wrjNFWsi5AnZpTRc/AltieAavgB0JiwDhBku+bVxMyBk
Nor5vASsb+pCfe/S+AFDC6UU9QUxq8ZqsPocpXE6rwGvm3KFnKk9Zo5cihlJRI3dMDXlKbdBzpK8
mln2oJlutbYgcX2LTS/ZV4nv/WiM5q7rjQ9BXjIWH4lK2nspc4NxqdMmuzHTvWOAKvqEbtpeeZZ8
qaKZscz/Y+9MtuNGsi37K7lqjlhoDN2gJt43dDYuikFygkVRInrA0BqAr68NV2qlREVIFfN4g3yR
GaLojsbs2r3n7ON3B5oqAWunlGvGkqQ1ocLaJcOY7y0iXeyRXIvEMT7GakyvMp75RRGT72rUqK7M
BGSF1JNt3WfyULbDB4EAdGNMUUGLkkDZKJk+t9Sfy9YCFhF4Qw99c+JaB7mFMX2OC2OM2s6m6nwz
dGRT1Jr3yjjiEf9/8KRjPL1BypYtc8++qwzIWKb9ClXM2MdT15DIFMujLPry2FXmFzdXS+qCzw1Q
xGjV8ZGWRtEQMSdRHjRY6ddxhWG795yIWETlnsHyhqsoU8lGp3q8MQs3uK1J16u56WVWb8mZvMY5
I5Y2QyYayF4IP38gO9lIjGuL2JIhlc4ZHXC3JR7Fhl1vEkrZRV25xMu6cHuHb8fQVLCl4/hunFXj
TA9tEm/nYrMyihs86NDflH80ZflmxyEhtshTI00nkbG5ma0LhAY39AddnBX5c535pOg2w71qultp
tDeMFU9Ua6RjO9PIe8+EFHFHSg1IgvuY8JqTpYYh1LZiO0CaJOyrIvG8KyevimWEx90cXVo3WppP
t2ZdpMd/NRH/X5R1TmriVwe/c1R+/vKffZO9FJ+/n/8A6Z1/8Nuxz/hjVp8aDnzsdyZHZkMwiQW5
27NwdPYxfjf+Ac8oPGads6T2O2GE4K8TCDERa0PD+SdHvq9Huh9GPx7KC6jnfAZGVGTC/Dj6qWoE
TLlPbI3mNsxbxqj8gFCwjdchNFv0+fajyvv+lGkyprxhQhLa2l5X7rVZElC6RCeeriSbwh2ap4Lk
c/2BxQ+4mcyqZFMK5a0mAKX7mqw6nOeai5EfSZ3XuNcyA5ppDsZtQmrei2/lJ4IFTpamtkErg1Vb
2/6yUzkBVczOqaPit07v4muSzOkgubJYsI5XdDG9CdQJY0+SFY6lr986Bqcxv1Yv5aCGhZ2Sky0w
NNUtENKZ7JdbQGLd0rt2LSq92JVLCdvWJ3VMGT2LAJwCEXcbYaanbpxuMTIfye2WzDHIaIziFwpA
VpVqerXb9ICK6RU5wmM1NoxlYH/WeWT9iUh9F9ees5iVluuyCaZFoXnXRms9pn324kLK3Ogzi6RO
T/MVQJjlrUSavSWyIIYwbJONNTNELbQbi24ODe9Vfx9a6uwVA4JR0wn3LCGvioTJ7bxLh+F4TDto
sVOWxUtNoRHVAQkJOz6YUcd4Kh3unWg8K4mjx6JjPmQvdZXAQbOv3Qi6xAK2JPVvesCB/la2463I
uFej1YKBkRA8RXqYEOijaIyY14M5WZglF8qMqA5I8W4XjBejdZwiHes40B9bEKJ0oOZrGeUvnTFi
JR+hQrcK5eL8uyTA2rVWTUyt9dvWVFusF8cLc1UjjEq6JazdNHqzMv6YbcSnNB2OnMzsnVf6ziKJ
+YYlYpApAAObtU5GWryFBrThF6GkSVYRVEByXpNDOYLjFOx2kT3cMzVaDWNBUyOq2xVIwRdMVP6a
ENNXIqGOyAriZRLVMaEa7mM86J/oi96QAkz3FH4ceo3dZHf1jhyVe86XuziWLQ+qtQvJNl9ouoce
tsXQ03XT0SlH5IOK++nTajkwkvHXVFtQx0g6WiDKe2DW+upbql3kJGAhuMwOhtvfI1G8F0P2lgMz
WOrsqasuH+6twIgwxgO+BecMgdhBToTtiqHpfN2NwkGNIx7LqiDEV9jX0hbuBvzCPfCHdhEhNaU6
cR5jtx53zsDjqBnDtTQ1+UzWKEPXJCKecKZaEiyMDHCAtDpWgvMCEp9dNUMxq9Lu903uePuh17Sb
NBqzdTXJ/KbQ5EjQIJEgeVRxbtQy6xWSz/PY186V4aVQW5mmxmQD1pQmycpnJkO/Z1IvgcuBFKGP
mTlbFDfFQ1oED/nXLrlgeIEsmUlRFFyLIn2umbyQKJCth8gBwGPFK9mO9boSQ2SsOEA7CPuHOgQZ
QBuesdc1naPbYm7Qc5h7KOeWfdPZ9rrv7JehGOvXosAOA70zWuNgJIyUgGs5+c6GLOduhR46uDVa
u6UO5/GfEvO1hM+P9jIH3dTrS2zQxsZyYZfyKYiznXgMgcYBGWDIfiN0t9sOJg/dmLqP8yC8Myu1
D/r6TVP1EYDh4btN5y+8Bz81nL2ZfYZSgFcfS8V7HF9M0d4BBCl3dOdJM+sqsN5ky2CAO03AXL5q
Qf62vc2mJH/cM3yQalgpbDTUBAi8azj7QnWFg0t2F869O7QsB/Tf0cKxWNB//b1+auDTtLdsD40D
qgRY9O9+k3JdKn8CHXdmm774AavhvBwnhsJljfi73PNP+ubXv/OdThDQPr/TYwNHdejP///HHTG0
CjhHTVDsxtaOcEv29+XAi61ZYocKOFvO3zfLpmPdsLr9+ldbs2/j3ZVFiUEbGKSibdCH/fF3E1ip
pgSv3o4ICGuVlLl3OwZONC8Xx6RM0h2c61fFfGeTqr4/JD1BiDXkFUy54+usjwqL6ci8hV0XjrU/
8+g5aq9NTx2Vw/LtOSaDM8GzWiYn+pOb3O7PQx4+6EjtCTEQ1x2Nr+VQwka27RLaOJ3npfBYHn79
Tf/iEbJohJukZBk6ssd3N9bMYj9HMV/sIrPZiFK/Bf1/y7mr+s0VvThh3l9RYVhzaUWCwU9ATl/h
/ORf8qz6aKGbYbgdjVis9YxFGNJywoQtBdo6G0z68ZYhaH4XheyhYgrfqp51eS5VElop5NUNR2Yq
tK1Vd6/5zrVFNmzksdzbMs5JtyL9uxrM4TFET7NF4SfXQzzGx06vm3ORDg/DjFzvzFgc2tjD601r
+EhL9I2UWmdR4L1f1ITJbwcteQvK6cELu83UztoSae2ikTz1qEAYkNNPsuRwTF1aHWY33WKPnjUL
/N3EED/XdjouXeO3ZNO/WGGYTNChNnQPxdJPQyYXyb7QrGI30XSfy4mBlY2gLWehKWv364eDQvmn
t4BJiOBu0TOw3+fW1OYYu5kYi52d9mfRAIUvf7dgXt6kd88FIzPAtfN/4q6cP8N35No4qtI20/Vi
V/o9A+V4MJekgr3OKz2H+REZa3BAyY5nzLxWgR+t3SI7aEPwJ1LPT55DfjVS3po2cWLt+oRNPMKf
s5BjfjLQdQDtttaoOdNdZjnTIrHBdcOSa66y2FljpfnokdKwYMQOJQJ5/zKzqVswfAFQhfOzMWtY
xZaPs4hYszlvPH6zCx7BKk5P/ZDSVMBX4jkJBaqhqH4NFAZgTZe93p7LwozWwpq+ngD/ds2fteDv
bwr3wqefwTqMutv88YIVppxdJ3mxMzIOCn2UkwDaghYwOXOejIgrAPwioRXgXee2wwS+qZk9GPlN
m/AsA21aE2fcbVQAVah1jHLVRfqjSqS1YoQ6LdLeuQ46hL3Anq8j30xWds1KJBlIrNxkfNBN9To1
RCe6sJUsqkO/4gvXSE7SSH8YKcQWMojk1srU1pfqHCKCXCQ1z6eQLHyN06sFfnNy4AJ8ZKY9PWD+
70+/fnD/4iVhz5j/D4Ah571310ihis5a1RdImwoMORw/XMXHEah8Axn+5o4Yxmy5e/cM0/QEf2Mb
yOp/eicrYY0WE7liV5tNsUYgRw5JkBzwgO18g/sz0Sylh8YBCcRVS243FWCYnQg8n3CbBw5xsr5c
4mer1j7WMzgSDWb00fvUpMaVRvc58/NmGflU+0NRWgjEmle0XechG4/A3dmMecxCK30J1Fylos5I
Jv1UdcUqGdD9UK6u+zbxNi239HK8nMRgMb7hD/rYwx3a9stEqn6DKqFdZFMbQXgfbi+HIMAUJWKr
tDyQm3AftxwkyQTvltjtCEOd1H3dhvqCIQ76mf4eSdhtpcWYpKnWDLdbQc0bV/M/kCJcYWCaH0jZ
9RuDJtx6fo2awSbbTt074XyAsGHneEzHlllFtYTB5TRUyIFdyZ+uNfuxSmxesRZnjm8Pr/UMmGEQ
ApE9PsUWYyyGhGwZmXhMov6sGNcvrRLbD1G/Wp8cLskydcgL3LbZgUMxoYDsLHHY82DydjiqPWWG
/Rw1RBWlhn3dN/3KMuuRWaTaMo6Lt4oIEiAK9nXWikfGVr/bj52/eL2pdWyw0TYjaAysP77eGXg9
QEd2vmtcbF9Nf4YveU19wcUDA7ma66/LUbtsfXJwfCq9yztfRO1mVI1aVAk/VuXWKm2LZO2nPqKu
2nKJdgmrJYq6gglbN+6yWe3SxynNTRAW62rm3Fda5p+QYEWrKWRfbCcySgreg+XkYl3TWGOSdnzo
LcotvbYQtenkig1hy0zYo7IOORiyH0Y0yZdJSJntJt1927OC1mZ7rj2OpH6XnfCwnYXdxVtYZgOg
29QisXuC76iYWOfeKje0aWGX46vT0E6tGUu5nA52aexc92wiHDK7e8sZbudqvnW/7a//uo5+o682
ETBg/P57acXppR5/6q59/aFv3TWM5GIOI3AwEmEW/85+7vownrEkEXylu+iueeq/qSp8hNcIOWm+
OTaDuNkB/01V4f5B4YGmEgcDqA8Ci/9Ji+39noD49ZIJqyPN8U1yFH98sQq9S+gJpdMO4Zw9sRSJ
4iocwvFjDh2TqtG2l99dntuv6//3PvT31RO/0EVNTlXNJ0dC9u5NbjMfa+LkjLthSOo7CEv90gHX
9JsciPenJH4LxeAsObFROv1UwLd2oxMtFg2ckki+IvejukvLmqkANEDUjApHJ0CSlagS7dwod/j4
6y+J/evd5jfr6TkT4uz3TO7x++g6Zu4e5Ga33fE+Z8NmUNG0ydxI3/XUldBEovowJEPdbEdogwbF
gRVAEpMx4tqGk+2H0sNns2BgNp7AKSIcQVKXLbxJpfR5Uv5sRrWTM4vXELoMMkFRbQfNaC9bbxzf
kOemZ4vUptU0eNMuEjZUEgy9hxwVxyNZR+M26PPLbJKIVFS/WK8WYDyQslaDce9YpryuVWrcm0M/
3DJUQb7rNPIFFzi2aSxe41vU8I1ImOsfsg5pZZNc5JoU/XUQeyCmSrOAv6GXz1E8yidCXfhBNZCf
0XAKoRpwgrPfu4gk+kbq5Z5LhRcmpLxHWeLhj9sy2+Jr6u6siZ5ik2kW2jh3ANFjV1NxVQq/zhCK
E1oj3bi+K7MelmXvQv3G8+RRUkXTabIGVBB6rlYWXqUDPcjqrsnb4DB10I6cymDqPwuBKW37h0TP
+4cqmZwP3B1zTTlnrguTI3UHGuZ1LJGihi567VgV48eoDconambuTCULfeco9Lauoiy32sKHQaLF
O7TU45siSvCjXvMjo143fzolY5FgIFOnClvjvsum5s+kRTc7H2qv8tzjivgJ0LiFyJFBLxxUtIDP
MuZ7kv6tKnpzXcIROkuHJJ3OCJ1lYpb1q0DBuAhTinQk5yYZwNqA0KYQXfU6YFP7SFwkYtW4y/Yl
wubr0ZUK4mSSRavGKuoCvxlEM0Q73qKdkKW6gtIVelJ6DlECbxwvqq5pG800zrD/koKOwZLXppuc
QwqLhlE+wwjqHwLoACe/6vmrLAQAEpz3whj4xr7SYK+l88uuVfbNxSkh8AmtHTG7FXxUN32a8ij2
UdF/MdJ4nOUM4iYU3Al0ut5CFKRjYakS5LHJjuuahvLFzVCjwvlMSLmB1lCsyigIzo4eVK+UEtOp
UNH40VTYnYuSlyGrq3QDs73FLOYY99CLSRYLEcAbGte2CbmPZDxzqedHNMNW+AW2Q7qZLp6CauJO
CPqmW2Hw/OMjlE/oWYNDhq9aaUhgI9JjbkLvTe98vV/EGplleLZzcx819rNujtVMT+8eQpNncz6Y
xFtzTtsRInsWTIG/tMKV1zKxeSgHs6e3yI1yXK3d0LAnnya3xI3fKvumI0jmvogb+dQx1XzWWmz4
F6U4w/ry2cptelCWZn8YPNzwiHI8yGOFKl9CjyHKMoaHyADCT1eXL+cRO7JvykY7D6MsyNSOk+mk
vBGZV6PBvC1bFC89wdZLo0X6PWQkaDtKj8lEA6e4HJB8be0hrl9lBkqApzZFEzBim3k06LdfJfoI
KNExreq6dczQM8ms8o3UeephVLSvcd2Jp9go8jTcwa8rGEy0k1agTtJVd0KkENgHBXxLnK10HBf0
U8ePhjcSkOR0DH8Ne6hXFdymDc+hDS7aNJlclnDXNqgarrvSB+HDE4ZEOr1t9Ua7K/XsrNndtSCl
ewP9176bapu1k04eqKLwQ2AH1zl64hWnvnBHUmO0z830Y4Nucg1Ot1t3YvxEf6Rbi777nEYmwMQi
fMU6FO2jiSSowujkVQm/d53ZPfCFIGw/G8wD1mHcHAfC/zawzI3DMFGDGmPtLjPXDlehJI1ETGI8
ab7sxyWynIOTeAeC4NBEZFUxLaQfVHth6mDNtUEsKz20F3mcQq/Os+wtlFOL/BqR0bZrxLj0RXEe
CzdeY0P0j0kUSjQeido4ES9sleTGMR5JQup8zvjTyI2Eoabv9ULrkcAzBEEq761LpZlLaXm8lgUC
o0hnzmRquX5UduzvutD4gE4SRwJGlCtS8KxsbXLtXxupFOK2yqdkzSfuIVB2GvWmjN2NY6jnogzq
q464sSVhit0+VL6BRMJ3UrYwp1qNQfNqlarbhnbInscG7m36iG0uMrE4JQVcCrSqxsJo02aDczWC
4ZtqxAp4w7NnYyZRFtOYAlMr/Y80ffK1oHRpiTvj1o/7WGGcwhVDOk60dHthUSFa1R3VmbcRyLfc
vWR9JcGeRQS5VSpNbEq8VycUTvKoEHasS4ape3OQuEWiiLeqwa9KPmJR8gSOrWEfpFMPHydlgTBO
wLF4DUfubGX1WnlATTe9gHWx9+aYT/cyIRIdd62/Gybb3+ddMN7GqTWt+oAMM/B4YumYWc7jjugk
U5CsG2GJO7cRRJiSvIg+vlbIJaW3qbQ+X2t+Ni2UjegBhV3y6DrMOmFLKlIJZvmT32sbwgRKpnZ0
FA2NvTzW1T6OrQGfV9+vQi30HzIvNLZIHY21Y5XR3usHGMswsk6lX5JClirtnLcDA8NqGg+Q8oHv
CduPBArOOv8igH5FweRe+UNr0p1Vqg45wpr2KhdRepJYZPcyynH8xigDjtkUWE9d4o6oRWzlMrlT
8MGjEfQpUohE/yKBv2Yr4RbOsNITvd9PFR4ZmWv1Ft+E/aSyLo4Jp4iTK9GGtACsxAH92oh+Ipet
gKr+5Pe6vlNR2sQLUKcNai1ymjYw1fpPZWKUyzZTc10gq7thaGfvWl+Uaw9KxpEAhVlFMrqJy+OX
R/va6usrv2pKsSS2skHpVtrxbiCroFkiTbZvRjOIdwhT5CcT/SSaConIkHujc5amREoSi30oM6Zd
YjfEGZgBbKJCtp9BwCpJwsAch6qnDSY2ySr8VmS4iuSoBWeZuvM7kFImuIHOCPpirblk5WJmsW+m
ONbOWiklXze2ok0HqNpbhTqQnJwiLyLoZJCfBtlNch3Z3CQDRM1i7KgKvxZfFfrB+8QYm88SoC++
MRvF3sKgI8WIbBzNNWWo82EAro0Jh4KxWJsg7VeERWV7y3WKK6z7007oDUmMpWIxrhNaM7lk0LSK
7IbNnaY6ZorQ7x5i0wpvwpxKo6Abdx1Ol0/hV48WCQAx+KZqXpSnfHyjQzPbBl3KE7+qjFuWweIz
XsCyX2khvhy4vyyV4SzYvji+xpmAGhla9xDFOvfOqDSvWOp5PW5DmE1HvKJ8/65XqzBkLy8ptp5k
Q5OkGefyF6Ppk9sO2d4EE0rSoDDuvXwY37xRom6aAvieSeyT96cI0RtnJRUJxFa2T0GF3/3mEPFT
B83nqGR6HBo5zMy51O/OSjbSBAnQsd4NFWsJ4FuQk1Xuj5tyJKdYxoVa+SjR33pz7HexZyE1NcwX
L5F/KjSp69hmm9JQcK86mZenvjbFUy9lcaKFnB519OLPpkCJdpIh4qZjHUXePnBwoekYNjbxwIXM
uYXMJmL7RjeAc9ZDTp2QkUrLxj1tisEajwKu36quOoW5kTtLx08792HtfNBsd3zLvVC3Z4eqIHoF
KCqbhUO9ocoMXTIPDo52aiUOKfi8wpQ/NAmXW1+HOW/ApUYaiqm6KzI0xeCg5nIppZDyc+REguyY
D8JK5docAnmdWoYHPrhi7zc46kEI6h/CSUNNTRM/Y0Tbpc6hzSa3R+inQi5SDORaGwDNrnEzRTq8
LQvX6M6yiHSolzY0hUas5ham+VAGAkZDZYGudJ0pC/ekBcSrYJr/h4BCKljpDUqZJYQlw+sXQH3M
o6+L5jN+skGyClJL1XoESgNRJN84LHxyOnj4STQeKKHIb4YONVJccYzRd5x6eLTxKf8JGcqZXXf2
srG1sl7mPm7OC+/Gi4T8NCYd8ckx0ruuZ1cjA3uCK9BSyEWF0z20cfbs1tTt02DIJ/hHTKbrMe4p
5rl2fkpEx2GauPi87Nq5Tkxrb/DC3qUW+dFBil1z6dlttm9tr3xBHVi+iNFgTzYz08Qyxv20Wq++
5QTgXUE2I9RCcdhysgJXQE4NCXLf2utDWz63c01N+ufM3WgRoYspg/s8ZqpDxxdC8GwSqsXCnePa
Yvcut+ruQZ99lWZhli92Q5dRF1S20uDUsqqLiTevhR1LNAAH+arKJH2vGJ1DIIbypQ0KjFReS0Ua
CNG6y9KeeEdmWCP6Y4N/Cam1eoV0yVWZ8bYNVfnCxkS5KyLWokpWdENMxas++PPSdXEN2yNG1yw3
q0c1uh5htxxvCbbwr0JD1oeYmfOVgyITK1c+boGn2kSRFv0DdFmOVYq8O28+efseZX6O6BnfF8cT
D03um8dbOq1jb5IQYEGhDq781HYtxxzdDm+M2eCdq8hZGjhwloU2Fyzzpx6ET/PAi0nUXZbZfA8s
le2N+VUdOMmykaRqJTmkPtvV0G2GOofGAX8XS3UfcyKd7aXoSDg4RYOo7giu5s6UCVvAZQ2URUi6
L2ds5DsWcsa52OA8beEKpqHFt8vc8TiFQGCGnq7G5TFEMMQCHhaVvhs6bTyJkJOm1YzV3eWkXVg8
Pjl0O5wDnFgrgoD2WUEeIElHpGwiN7vqAlIfLscyPJdcBlFxoqDRw6WfGyhT7I2bVHIQV1H0RqjZ
eJp43QCiQlQNFmqgB+GFdA106GPnSgp4xxQedOI9tsKOqPnbqutpihQttzgkDXY/THwj8MUmh+eJ
V7BkLntvMtmm7ZLq9lJ2WrkmhoJjpAxxHhUwj5fhkNs3ZurYH9hodDD3Tt/82SY1nZhJpNXjRD5I
hhpaVa8hdoR1o+OZxpzJedmss702H2qRMLCscZIKDpcTsuZxsGakW9TLYgLbg8aEQ3YF0mNtGfz6
y7nZBWV3GlJ6ZkWJ/lzTtS86+GnKFHd2d2Q5m1TV6Onm66MZ0zLC85rti9IIzuRUF1ewCLBGQ3e4
8tqmeiwNehdQmOlldHONonIruukFFe4y1FsWd81sPpeZXz4PIYHTtY6ZRrmss6UCo4xyqapf9WI2
DacpUWgXqjOoVo6ICe/0/DxX9bwMN0HZHPGd0gnyY5daI635cR+c7jFmHH8fzd1GVSXzLkBh/Gx4
PBJi6lAzV0H5EhlBeOOC1d0Y9fz8pILCi5VokTl8nWDuOlzKCs+nMxWmRXrOycPaTIJt0kHDcX/Z
G7Dw1ofOC6MbLOjzeZ/mFfnL4sa96MHARKID97nC2EDN+4ux3M/xiTolFYjgGIKeNTHu8bI0IKi5
kT6Nuf2Y6cUVKb7gkUyKh3y+BxH10lPTKJAINbOuVa4MVjMR9g+jojyRKX0RvczMey1HHB+wjj2W
jSefIicLDpwbneWlFdOD6N17cOEP4CMVsysaGQ2rCX58kjw3IYghPBcD0NCWIjPnxSb83aL7VGa8
FKPel88EvNAYVPTqsFVRorUULJYDbMmkqbdms+fhuSyzwxzyxYmdaNZShH9ymhqBWpv5XMc1A6f/
2hpuaw7LH4kWmnbwlzkqMg7iYuosb1HPe5T6FruW00tqa3zeUtOD86DoU5jZkMd7hPTVQcmM5s28
VFo6F4VpR3ozeSYjE9iIdBu0OUDZZ38AP0NXcKrpChatO55cuKP3VuV2X1zYm9uWj05eAxaEZexT
i8qslJ8Qp1ByVOi/90nBSxYDbbsx3eK5722u2uQi+CRSi1elT7kGzNmpQgkleKQqSQRehxE9c6aX
PnUL7A58/jqLrCJE96EsA7xbaPpXfccNH710AnlIK/PyXy8v5pgnbDGa0dWvtmJPlWwq+2Jqh9vB
1MZNHiHLZmrMCx2L6hC6NotMb/NkC+lONolMMegDZ6IShia/GZr0rRNT6ayjhoPDpUHnNvJZmJwI
1Ey9GwHjkwhmggXjAMc3ZsKUJWrXeeJpqkOmVnMHvOUguwbMwC8jZ9w7tEFb/kbLAvDsx3nv3PJ2
TVgtrg2BFZ3rj6OErrTKXCZVuxMxzeGlM3X2jeuAughb8A+oXHVUCBTfTEaZU4UloRCNbe0mioMw
KDi7QPI+kN4wHgslq8euE+Kmj83hI0vCtPl1bW28lzLNHxZQLMQbslhId3n3YTGepW6vWc1Oiy0d
B0nhfBglZzHdSEj/6jiY0K2gEDVwstynLR5snVbGIaXmeUnkTC2YV+Fff6iLrOjrxGT/+f/+H9JV
6Oy7KPDmD+WKn2YjYceTjHm02eW5haXd960AAVBXXU1K67d13UUrTu/TerQsehNBR5Mtwde5daP5
JCf69JwoHiorc1gNArv8TLySe+cBGFuzylIYanVZLaoWvtWvP/lfnFRQSl3uvut6KNPeSQtq00/L
kFABNHdmdQh8+jZ07qkeq6Sq77K5+Urum7fqWROfm5FdpFAF58Kutf87e/l3VPmbUSVCeYZQfz+p
XH3JXtRL/eV7H8DXn/l+UOnPw3Vo1A7vL0O1bxwoG0QUA0cPrvN/xf7/G1TyuJpwsi0BKArF//8G
lcC1BbFETD5tvEvzDPMfEBIN/+dXlq6e4Qnd8MBLkQ3z4/qSJpBxjMmvdiOWzUdYfIVcOdKC2TcA
31wObp23G1mNt7itCCHEj7JkFuljCdTlhuyiAvKQNRmMv7o8WhRF6rBp6OrL0Dqk3c3YHS8guoe4
v9vC07QFIMRnofGoWhi3N7QtGNZZesgh2HdIahVYogLIPB++jm/oOV9nCeUeQBvoQW7V4OwOkrw+
IDFMAcPgZ9bcDK9phIwQlWWNMRoYipNbhNgMdrJVfDjyQGtH7hl4BfsSmvS58ENxICzpOXEr7THO
cigkVYFsqBqKLTZmnGszpooVSd5MA8tUPjR3vYfdVEv5kgHf1IjMO4gPKXbENFqNtqUtEhhQWz1M
33C6x2jffTwDBZ7YNVrBaWNWCLmrid8e9eadYw2zrqk9tYwJF50Jasbw7nH+nIyAZns0FB9UNRlX
AygQIkwKfPceDl/Ty68YUV4JTz4GuNWWk9EOIGnDZzBL+zkZYzHH+SBdfK7mpq1blh+GRJue0gxI
DuOjCF+o7DadjrIaQ96SR/CeGNc1Pj9nkQbO/BEYWtr81X41WFt3cvUbK9W0DYg/WKyNnz2U9OUf
jMGCjDPzn/B6WXSgQfQwvKoWEV531BS3aP1YG7EKt2KsXkph1PdAZik+4oDCghbMWlF/3Wa45ANv
8gDntdXN2Ef1o0i9e6eJy205UJ0bzUj6QJC6TGN8Y+dXDsbuzPuYTVKrFsJSH0NBArPIy8YFVNNA
//aD7lXTq7pYupVu3VHNWtc59jFjpcxoAFEVVdM6i4oPFpL4tVXDVVyZpXVushZWnxcAFbc4FgZz
PzyZOxJRpvXLPh8qf1tfuhWhNAwwMSQPJkAcFi1o6/LaNIbuOK/XKN4QEH10hYqPInf0Z8EXXzUw
y5c5BuZ4ZXMty43h1UG9sHB5HxUOynZfJpRYKG84oWqFPWlbr6Y2eht9V50ys0ZuHRYAizLyJ+oF
2Bf6tYnx4bJ8/bvQ/2ahR73H0veLhT5u2jp+bf9Tvv2HI3iXf4pfvl/0v/78t0Xf+QN1gkM+woyp
/KpB+bbou38Yxqyp1SF7XNb9/8lTvD8wbPhziB2ZCeiLKJ++yVO8P9BgWib/EoGKafKv/smqPxcO
P5ZEzO0EvH/UXdAJ52/+vRB2JB7TIIpL36XDzCV9g1N/Q4G+pys8lxA79AgHkM9rXqRHI2Vls5rf
1DYzUPGnjwCjBz883xlnwbsubEkKhPRoY+7KetSvA/E4+vKq6VPaABwzTVD2bdWtfGxauOCDk5Rh
sqXKK9bKfBIQ5qZoRUZVeNInbQESAXkaSlzXuK5mRTzKjAVQpZXWc0DW5evcrYhLGGywGbT0OaGP
Mf/jKAS2r/FjM5UkS+It0Naj7e9ESUAuPQrnCtBZgSNZb0EmaXVjMcBMwX1axQOHlEXNM7FDaL7A
XbYQpnUMO6I+mfTeiRa8iDcb6j3txAtNT4J4AM7wV+Sz3LHydHQp506s3945/pNhaesmdF+Ir4JR
mBgL3yGy1XHBdvsLPYrWXZmt+iFf1l16HjTAwPjM8S/n676Vz+xX+pbEz9uwcbFJFJ8mJJNtki4r
vHVb2qreQqFBXFhF8ZoPQt+miUeXXVevhWBG6nTNFUZbLHc6rjin4ZfRviLPNqRN/VWm9O/i8pvF
ZbayINn6+9Vl+6Wswx8XlP/+zH9XFE//Y67RfLRpJv5QYfG+fKMI2X84Ou8Q/hG8pi5Lx/9WFLRv
31YQHdaQK8CfzdYawEL/ZAFh7Xn/+s6VLH+Z7oDVNoEY/biC+GbJcK70sp3lhU+KcceibdISbIv+
CLD6Q00kCiq46tHLjUfQtnggOHfjYTm09HjXk1aZewuuASZbH58kQdF7v0uzLWsBqGYNf3Pb+/Xb
iIgX9YkL7M5r9CstzOQzWlb9rJmjuZ3YaVdov6el9OJ4E2gFo/fQPVOVerdqiil12pxjL8Pptu94
AVQFe0Qzyf1Soj7oLZiPPr8ZGxNscwtfIMkGOubudGc3gb1CKewuMTF292bspwR2D8EeAI4kgd24
U3httk0b/umIHJiw4k1z8yw6tTpUjMTiM+EziG/RZ9drm2DAW89y6QllDzRCFp0FRHqsHHg4bv8C
1x5fu8XsrCYw6VNMcXpMFfQPy5/K2VPrbP8fe2fSHLeRbu3/cvdQYE5gcTc1V7FIFosSKWqDoEQJ
85AYE/j135Nl923bX1z37X1vHI6wRbFQQOIdznmOx9ps27qt2KOS0onBhdpS5330mXLYrxO/nOa+
q/Gd7/Y4k9DW4xOCKbGj6mG4tTAJY3sB8EYQ/cj64VrKbtcX826pjcdIR2MMhlSHxglxFojauoYY
9L72o9e8UkXuSgLfKTTLa45745wWQYvMPiCADAxScd8SKzxhN8IhJ5kafR2WOmXVwRDV6Yx+7TgV
wtkmHttn6RjRM0Az74510yJANXrtgShJCSmuSR8AbU1fo5CxqI7CeVGlkyM7qdmB+TWLgWTEnAyz
AZHXUARPqOwhmBcOoPPCHr0D0ormTaSZQLslxuKlyitopwVEENMuLPyEiynwJhRsV2Kzac9C2nrb
57BkSkMbinoyINfr7KaiM4iADiw1GQrSWKiHZVABCEwLlvQrqyZ/hjcCtA96x53Ndv2bsEfD36go
JknBTqOXzC7q58CJyi3DOUhIeQ1yAGTWnUumNEpQlX1rmoiJfmgJ0hPSHCNPmZEcCo9RXWZvhPfZ
57z6hthV2y4FZrIQx31wmPkw/UYDyW4wcN+pbgt8ELP5vR2EczQcZ8jWMYXMIW5r/p8EnSEXEFut
mjXY3TQhrdRedVI9P1IQ4jFszCqeL3hgixcPnUR+wPzGh5dzPF8FFF8cmbWprsQu1Hcdb+187RDz
sG2Cgh9I8wHO55YgMY9kH6m+ZNLK87dPfdaw8ILxOKNl6oD8JMRhNBY0KEym3Ucql3FvDU7zE7ER
iKuhbh5vv1kWMQhCZ2Tx41mHiadYB7qn5J2hr4+S4MnVyjdXp0UUZeKeKq8aPneZy4bFn32aT/3B
e6ecr/Pg9V+EKvkfCw0w90YOkU3g1PPWDLtxz1Qn+3a702gw+duWOARib802fDKFQZgFE0yfJoQP
lMQZUUZwyF7ccLLZA5OJTrKGK55QN7nHOo/UFftVvWlbGic7HoR7aEbt/Brc6gR3lW/NRomASqns
P3rkBYRg1v4ju835DgupfSXGPLhO0ii3CXckDo7Qg6Bm09ROHvkX9JxkImHP4G+Er5PvijgxnutF
kknsZ/UzyYCwaWhftrdvq5zIzUjjuQvWXR5VPSqzMWAFxZWbBRgJS3b4AQHSQpfwY378MM3xWhSK
u37hH2kAgB3u/tq+4Smy5aGrkoeRKcBgdJ9HCRZj9OpvVRqQuoI1Nwzu7X54hGN1wShLt98nhzJr
f3lTeBc6NatNDMeVLa6qA901JnucUC9xC1PD03QNX3M2mBNS0hgru5nrdaBZHD3vsQHgVE2kXWr5
VxdoR6fpHf7IGZ5bED18zfawROXiaJkfUrIRJoW9DwyIo3kgVg8ZxFJ2tgvqGLPvpOkhfp2Dxg1H
dztDw12JhtDYUfNG+ht6xABCUsVqPQIlkZpOgueouctYmKBbhV3iADFprf5QATUBrof7exycRxIS
ozcD9ElnBOjWYKEsmopSjAVWb01KMTQzJbvhU3B6jVRafv08aLoKM5LlowS4gixOyzNgsGC7eq4g
L+Agz/eO5rR43sIXrNktSmJtyjTPJfetL/7MxlaE8phr5gsRZc6BESBiA8KUqDFhw5hAYhpNiyGt
4U1qfgy+HvM85zBlWm78fTaTk+6NAFusUq7B5yKAnQlpbq5NCpsm1ZQaV/NqhA9axQJhg9U7eyf5
EqoNbpFVqkk37IC7VaTpNy4xxHI1LgvngabjxJkG5eBkcjEnQYaKniUonUQzdcwqmB/ItwK049yg
O1VvA+CpNItnGdE61+B5Cs3p4bYiFUGze5wFis90A/qUgzZrVHmzcTvSqDtN/uk8SLnwio8zBkJM
k837oDlBMujCDalKX03NEDI1TSjUXCEDwBAOgzdS4lnRQB6aNIPI0TQi/Hv5utaEohZUEQhBHOA8
hkwE4BgFrHMJzHE2PeLqMzjueEuREHygsxivQqOQEFToGkLzkTqNSppu1KTRxqONiiL7kglMLi4U
jZ+dhiz1bVuQSlUKzRaPNiTY4/fVWCbwBog1S2cLXdV8EBrg5LiOgscqqaxQpK6mpg0emrFBA2jO
xbdJU6J8zYvyNDmq1QypgqeIk/yGlko0ZSq6Aad8zZ4abxiq7oakSjSdCtHNsAtuyKoeeFWvKVa+
1cLDc5D88yUSXxtp+tWYZ8NZeC3rHasCRVtLzKErd5l4DcIDeqhBz5/wFzFe0qSt6DfmFvSt6Qbi
Wm5Qrj6sjIc+DrwjlUK+t8xablNF1gaTodrdJrDCKvDTj5ZmiE1tOh0IIpWvvmTXwqacLPVFx5uJ
CcSv25DkLZZjrtlkIEyMk6l5ZY0ml9WaYdZomll245ppwlkkYZ3NbvEdIRTids1By29ENM1GK26U
NJuB56DJadQM96rOdq4BwMxmj1gAWMtuqLWsGiGQTbJlHAeJjUVNsStd6Gx1m7ugq1gsa3Jbqxlu
tqa5eQVct0UT3lCaQlbT1LdZ899kppFHzNvenJ4odU2JmwQhsNKf+13YgJBDLov62AEr17Yo9AaN
mmPUAHQO+hxv0PqxErDwmnCYV505eS9Oo/ZqUjGS9OV59h3xoDTSDlQ7cLvK2mMTIZfZarf1WMc/
pZr3jkbijWw6t6PG5ClTqVM6gs4bNEQP9vg5jeXVxSO2IXo2O86Lr+6iLEjCfpMZCXnbvrNcw5zT
1boTA5TrcZvpIJJmn5dTFgOcyCSjuEHHgvGBdUgYMY0khsWxREib/xYlJm65YkA4yRjzbnlj2S17
bO6IIVO3RDLvt3gy3ttklZV+Sm4ZyjVti8+ZlrrQCXS6GW/DV0XemWESfFbeItDcYXqOdCyapQPS
yBGsmWV77j3iha8S0MR2afxrGmI5zZaeia0OW0MVnz0CofG+dzqKLdOhbFZn9feTDmpLrfEndj97
O3mEuAUjcW4M/12YkXQ/ZKl0l1DHvk0CoW1MqbK1I0LhgON8w32LNx/49Puko+NSo3WxqZO9ipXE
X8UZTJdcIjEnLUhhaCSArtFRdKp3Ee8E4efQIKbOI68OX8a0IoDxQ9iMil1Ztg/oztZF7f5IIL1v
op7guxlVYEW+nC7647ntv5vu1H+I3MvOkw7Os4POPTg6TA+G/7M5orpfSWoZOCtjnx+XWwLfgqb6
7KYtGeE6oK8gNOe+S8ofNKBxiZJXDg0zh8W7I2K7xpeZ/JA68K83ZPkBWEufWVHf74YqHXetDgmk
fPG3tu2oax+Rd00NdHV0qCAg+LjDhU/UoOmG5Jfr+EGlgwj9gUhC2bALX245hXLui8e8klqVpYMM
K8QaJFbqeMPSSngVmKFOb6A1rKkDijD4YPjEwTHGnnVNB8ISSXdo3hYdoLjcshTHW66if8tYHMyp
+lxR9MOlWQKSv/t613EwbgNrOaL5rtCV0mTV6ZI/pIyB3qx+AQQuBasPT7u0WyCeNeP7mlsopijJ
6iCh8U3D/jM7njaOtiwCqsVhoAx8DhyYSgmJy9H49KQFyW7EGlSWB+H06aGVIHWVUf3MFUnoHV4n
2sfunLdDSZ/VBle/NMdLnPQNbqVw2eRsEsCZIADx4prheYRcLQuD6MQv9oXGL9oI0Jw7IyuDY0FC
3n9iZH7PSPtXUx+wIkxe//epz7H6ADb0pzEysx39Z/4x9XE/4b9nNOCauO6QAPxz6BN84tlmw44w
QK/t/uByhBQmPM1NEUgGQJJrzME/hkDiE55JPIm+w5SZ/eK/Fa/mupg2/zTEZdfP2lDPgRzbD2z7
L0PcwYYIvCTKOEbOojaOLIp3L4uoBIbUZISLrsdGjdjNCxweraLKY5Ii/KQt78EwugqaUZWTRJGO
H2KAGrDQ5HwLYSDVqzjMEdnzp8qNIq6aY3upvpUelGYmUvYjZYDPvGZsnXta+mAhJ6Dk5GE75dN6
Bs8kJRXXVg3jozm+l1BkV4gn8he0PO1bjcjUWC9jUS373GzUO2ufUsE+NWYYSU7MNEWBV1HMbAXW
AMIi8++JkTPjdVqt2ZmhY3LGEV+VK6koeotwuNfTIYe1WrS4QAxAT2xZzwtn3UICZokUZM5eoqBK
oIlFydlhQhFsHbTHDEGqgmlvbuT1j6ZrmrcaDeXDQMLaenDQ7LMgnX4E5Vi9uX2KbY4tJMKuKZdP
c5PF73aCZJSdEn4VirZxgJPrA/Xl+Aimh8VT9cVz5pqpT8BedDWjEdwTFZk/BA6ps27hEMsyk+YN
VUeIaYixZgzrsRpa2GDzfrJTcaFXxO+TOSWWt8JiXQWfxoc+cYxYFj+TW9VtSK8BJDbNDiLZBiVi
hRvs5PWx2BC7PNwFamLxunSWPI1LkXAUx14YrwAViXNglnYF0mEm97FshufBzVuYc9YErSAfLehV
efS1N4h9ayZPbknWM87TYmerHpDlqqYXwP8IGHOJreG1IJtTrr2wbM9T1Mq7JAjGX5iylmwFwtNA
4VW4WoNXFdtGhsDAqymUqFFAcAG7U60evA/5u7y9GztFe0ASBK2cnU3dtywrSECfENGj9pFOzDo7
rCycqHN6TZrcebXjMn0KF4+/zTFF+4zkN9sNMnHvLDtDRAZZMjkYDm6K1Qyf1+5HeSAGb7zGSYnw
jii/N0xP7ckxy/Dn1E6i3fmAc92VRcJEumV4GV5DUjGnNXPH2viaxY5/SVyoB9R+DD9hjy75D7ep
HSyMCV1QbBJxEXq9tUYQWn3me8xpb7rkIoCt33fWnJwErWi4tepJYiutCL3zkXtuuF3rz4Ejzce4
7YlvMST/3apj916O7oAGD0nSA6riOu1WU8lT/lXhZMJdWcQse7g8Cv09zeuIhBOyKG6RvkfxO86Z
f+3qUJnFuTJNVfUrmwkhiSrTMOF3XNC0zdPozKfES7KDnPyLFQDva1yxMEZEVj67bfiMWU6M247M
qTdSSmcWodFYbMTght06b+x6XZWd9zwMHkXInFo9ENYZTnaVmg9uU6pzjzx8j0fZgyXV0b6zPWfR
xeYpQGm4bnlerlGnmF6lTAW+qGhyCGkeejO7CI0/DTduswzms7t0jOSKFR4Nj9WvNA7T0L64RTI9
GXmAERBZ33R02vE0xpV/j4Wk3Zd9Th2pigVycTk/SVyjR4TXknAoLz5iDyyephZML1RTtXbzjKG2
ExZb0fBFsk1clRFmG0smDxA5VgMhJ2zJ0jO0CQim/CTHkPtBRJA9UvvNjxKWyRmg5sxeDRoKbxE7
wo8xprVi/vOS4Hk6Rl1bry0uy06EQfeYmu5bODTxhvk2EMNpNO6zxYoOsT6t58F8ray+IYmEHiSf
P9puvOsXrmHUg6pK7X5eW2Fu7swu+aIcjZHN6hcoa4K43uYHLSEkt9S+mnMbUowWL7HTPvpTll16
WX2ln1ArNNHEdpi70qyf8duUYPIEKF4Trbg55ePGxhoNHVE1wUEk1LazX6GOHzvJaDfx72VqdaeW
IO4+i4haDINxbzuju7E60kdY0QmTUidPTm0sAFHUU7O8JfiN7kM1uTufOt3mNrrz+bbPZtzagCaH
6mqiBdwbXmXsXVrwdT/XywP8twyOR00eQJB6zZOc5/DqLNDuNnHaF0+5oUBqh+2HqBPzlKexdbeU
odwa3RSU68ZTJIbC68WKHHD7fRZUgBviIIgWB2u5XdKuZDEXzw8F5pjVPFrtl0WDUFDUdrTn6ZNH
OguPRJ6s23HsHso2ZzlIfOkzrPHoybMjFps60NirTRLp+ZrCyJw2KDqT90JF70lnyie7EdPFVqG6
S1ltXn0SpZ+HqS7XveOfCOlF+z1w62SG+Qr5X66IK0bdkamI0DZ+UzsXPyY1dtfACMV6Ya+xc+Yl
3LEDLX75sNQelmnbDctwnnoXNU6Lg/KBM8Y4Z30q7JVMSnllPl9spIBdC1fPIWzMbvah6pIfblHw
bIV1R/BWPly5CYuHEJvpJSNCYeVXvtim/tJtLMu8CKYomx6l77FcHOdSBE64MYa5efQm65sHknAr
LSN/LkPaQ68X9mtfu3LXTQBkuDOSnPHkaGoXgKh2+KPhE7I032M+wKk2+uHJ66aZcV+qjn7PK1Ll
i380yLSxftuJ/2c7+q/qZIfwk7+rkw9I7NL0j2oL4G76j/xeJlseUcOa2SEcDy4SGSv/UyfDi/hk
61weF43bTUr3P8tR2/5kA/ywWWJqWagdsOP8vU62UGKYFN5U3SYa9gAQxb8ht/B0GfxPuQU+FPLr
ScWAbW6i63CDvyxL8UAUS+bF9nNHgcdsZimxuRFbhr9k0bavxo3bJwIYsXuLnCTfJDeuDOFwu7gG
2uoixWJRdArnghkVEy9pa92HRsOQDbd8Z5r8HNo2rF2gGdNL1hI3BBveIxYcIPpucG3yuSwWT7aB
RphZxkSMQj7vqWHz65I5yyGMseAk2Pt+VotB4ELiTu6joWNHVFWkMK27fnoPied9FxAIUmaPXLZ1
Eo+sh9q8XXZsiuTJmzGWDHaSvffxNF+MfCZXkkHp20yIwxopRy7WHBH9z7GNOWob2HyxbVpPQPSe
mNSn6aouOvuL3o7m/0Ju4vxZ8XL7CnyQf3yrtD8Bb7o/76vLxXUzI+r854WK/Og5g7dtbNUSMF8r
Tc9EnccL3y7DC5m09rmabD5a4wc1uVy5yZYlIamAhqs+hsswAtj0kgd7cGtc6LnxWkmvuyYzCzwv
zSC0UXMlpPvximP1FOzjBLfC0Dn1YxC0X3rSdQ9eM53JkbDJd7dRGocfmfTl9z88JJffbrA/QmHC
P7dnfGjgEfoGJk9b09v+P7Ikvp8YmWb17NZl9IYxWV1iwpC/gshTF4OXDsWHw6kJym7rJkxZVyXl
2K5j6kKkJyTchlwRlpTepB618uw01UBUopl/k45t/4R7boFHtKfHZPCJAIylunhB9MLS0sYVzkox
r+B7+HlhHrBVVvvEaI19Pjr+ZiZXYkssDve005vjnbk4H1jrzlNrW4cemfUBCzRkMjcCHkZK41Z5
+KtMtnE7L30rmjA7uW49/UgTIr2K3pl+NMw1jmIu2kPb81qOEga3zTjs+nRSVx7K/AFpOg9Tl6eH
3PkwUeLR5USt321ywkEBbWFXTZnOAxK7kYZFxup4IW3STtliiqpSV1XxLenWI7sH+SyxKhT264xk
9mdQMG4jV5OdFgo+5LRqEdauSrruEKomvSv63ryP0Fxdgsoa7z0melS/zlCUW5ks2WFuSYtcL25s
X420V49db3FBbb0cXvC0TZ5+No18IRZzIiAo6eT3MM7js0tFvDbZKD/8/b3zlzPLM1kVhWhoHTjF
6M7sm274D6xEzYmJ4lEY14R+9KkPhwpySce2WUFla8UQrvHCc++09fJjsunAOzRPM5bMOfnAfg9p
2Md/JXtTvgpAGxte9OZeIltV2lIiB7/8QsdKwN/YegWdPGrSgu/+XOt4C7PHt9d5JFWzxbGvCmY2
RnbKRmpQ7X7TGYscV/NuhFmoD1RYka3X9NbW6w17m6I84WeqUT0QWrk83W5bTBTkjKbY6lrpWWer
QVmJmcf8Ghhl90qXjrnSWCShoSmFU4mZPtmwkUi/V2a+l1CLy/WgwiFZOcPg61IQRWoeJMFjYEpW
yn9/+f9qWuDyI/oOhBn4jHZQ7OhH+w+Xf5Iw03DoRFe7bRBS95YghaaVxnO2hHwCK6PH92VnfM7w
nRIUoJqwwcBaJWofmCmvF4dnkOVpIaNTAFTlPR99wmpCRofIRq02emO9y4fR2oijTAdj9+9/ACRv
/Fo+EnXgoVp3/ocPUC1511oJahxsE/1WZbCnZRPHO+lHBba+inMmkhPnhe1zxFQJ6bxEojbvZmR6
d9bkR7949oiKhcr87ijB2GgCgpnYgB13sgiiz4UglGuVVDGbm7//3W/v43++r/W9D/bUFQAWASzb
SCT//LvT1qXt4k7etYYeTeJv10W/uJuj4NB2bfFCctdyn6lOPRZirPZ9GfAJ7Kryj0GTjicAvgRg
hnZ7LLypJeNcGp97vwz34cQIZ93CSsSW1aVnxvTqMpVhgee2m7pfaJ/ZPYap+72LpuFoLksA/lou
6jK4U17txShaEhlx9yktDOiHIXq1CTw7GIERnLpUAvXBb7ArOjzrTZGoN2yTy76dxogZddJul0pU
ZJLYtvppIZRuwZm6CJu7xra2eK7DnVPn3y10Jl3iVHKFB7w5Fi6bYQzE7ZGaQF1uj14UGvFHGxnJ
uMUvyK/Hnvm0qNa+smZAUlJm2BZZryYfJmCKXUas8xt33vjTJaOME0RfmgzGz5BWy72LgjOFcMPJ
16TgQzHG5Z9NrFdoKsm/+SrKDHBJWYN2StQxnwipafUC3XBZpySK8ZOHcOEBEwPvkr+/ESgS+ab/
dCdgwKBmsALObF0O/qVs4KwmcDYf5ZXtVQ+Bx+QBW93O5mJSrA6hmazxCfEBmO3FO0qx5t23+wW5
FGfSNi67Y2JIgYA8K04S1ubEDM5M8/VoZGm5iuNqh4lMP66WML/P2Ga/cPz3322WYj8HuGrGhmar
FJsuCcg7qijH7kcsttsSayD3gVvRWRUOIQQ7wt/o8cOlHA4BG4bNvDSEt7nlF3Qp8KtE0s0Are10
j4LeeGJjOE+bjnSFD+nxWuH+Sjb4mOqDspZu72qzkwBcS8mpv1fmC/1rp1AHGTniI2WnyzZ05lcL
8MHGqQNnxe+TlNA4eCAwV3CzZjbZKz7QvR+Mt8sNfWp+qkGPHJawgJXEipDcOGknNWkIkQt7ZMiT
F94D6UtnMGrDrDo5SPXTMnvFsh+iBsqlHx8S6ha1Lh1Og1WXNMkH3ad1ZbisC5xW1SczwMNhQK3f
tCxQGNomBCajUyJfthtyjryi7rhQOEj596gn12g1J/YSwQLtXHdTkGn7OY777hiZLm+dxcqc7wmg
sxmOmt/kdwaELsqfcH6K+7Q2tgs7y+8lFsl43UuYkloVZq6NCvNG7E35aeZGQCYzIRgzXKI21vj8
nK9WjeOa+2lYnrBTRuiORKauLbXlgVgYpqNdtyy/bD8PjsGwGFsE6TlRdggg4pXZ0lljSwRA1fkp
nkBSmlY4DrgLU0mVuVJxu+kJnKORbSJzQ2xj8Yvx7pUVE5Rrj7IVR3eOj6yY8vJBiDK52LBd17wM
2PZ14bw83R6k/3S2/6KztbXS/w9nzua9f/99d/TwXv787/+6r6v+Lxug3//MP1pb0/1EF0qQLcOp
W/rLP1tby4eBST/j+KZFC2vT89Ay9sl//5cbfiLqg//EVsbzsDzSkf7e2rruJxJF2Q+xVoTjTmf8
77S2eAb+ckKitkXEr3X8aIrxO7Bs+uN7XpdevBlnvMpNQy5mYZRAo6YEoIIn/Xw+iDp3KrA5pKFz
ezrNPWxBkLtpnHyQTo3AVQAlwXVtJlLB+pIlks9O+D8ovBGzoTBjklU287mWeVu8posrz3W3mB+Z
EyuIMQgAhpXpWUJj7Fi671PDr7+InjHPsZMhvHzlpO2ESJWtd9LnquIFU8xML32oSeit18TrQXOf
jbPJyIh2tglAR2XVgmZobr+Ngw1K305wqY/KnIllCqyfsPwHbzXDsdmxRk147U6Vl6DYT9L7Yqyn
41AM4mC0Q3sc6zIjSzmt1NMoDTK3BntT2yESQsxVicHmCf9FrX+recleldcRQI4qcjPM6pyEVtoe
GH21Fs6l3IoALtcFhQcJYCi3wDBpmgtZV916MSI0pCu+ea6yuQzWJbVT74SbtrsADsv8u8kS3g+u
CNCJLsyi9vPiN8uxb1FOuXeijUlOy1iANC7Rrs2+DdBrAICxp3vc21CrCDkrZoZt1c5f2EaBonST
pCdqLFVJLSGy5fRa4o4xYMW+ZY0uwrLVFjoUkWnjKoxb2HtHq8ytcLwrpjBLWd8pCwdNfowDQ4gG
s7UHSMexrWtH0uKlAHSmPsJKNNkvXZyjBTftyXmwq84rrWdRRtbOZ5BYAxITkfjaQKxykVGE4xmg
F6Dpami4UG0eJeu5GLJj6rLUwzmWP1lWjZYs5eCPknx65L04rsw0zbgtVV5vUAXGvCgt68TyoYZC
Zi47MFD5PoeSaaUNGgV/cMHUGIWNdLhNOEdlTwpJ0At37Tpc7bWdBdHBrMyxR6c9e8eSFoa4tqV7
r5l7/LB7SYZpmMNzYLnPVrAPoqBYkQFEyVt1oYVjG8+j68SFzlnMrINbDd+SzB175FeudzG4gt6q
dpv4W9y65l2cuYi9lWfsR4cEV8Ffd89asdlbi6WeKnCD+2TKg+zRtXhXlDLA35nbZn5nW7GcVhRV
4ybI/eo4gkZ5SHv0siugXe7ZD7LlVEULWHeggxven+/8jugpce+jRYof/IS36mZw/TP76O4rA6fo
W9ISSl+D89g3meNuc8k6cLBE8wX94wMwPe9J39mPkUVYNVO9autL636BVoY5sOnXgdN4uyBt7JYr
0Ji/ams2H2svj7/GGCnvWulO53rMi0NX+HrF48f7LBvzfZQS1BDJpvuwp7zbw4sLn2MXsYnvBPYZ
a/rLYpuPFdDrtTAi/5wvo3duUjY3GSqkV09C3lhluZrOKnXsN4iPipBG3t8xghGTCTnQoi2hdM4v
QwRAAnquxi5fsv449MUPnyJl3aYRblGGzxh36LjcZ5y0KlnbYqx/uAGTfi9zY3NV5633vS91RRd2
HT+jMY4FswRG+o2xkqTfHSdigE4smMs1mbAZtM5MEXobBwflYXCaQEsFKxCq2a73YosbfejTOytM
hs84YbXmZ8w/s8F84raur4E9wwpFRu3lUXgw4BVgt3SkOAWtAYsHXzl5jX6VXMIiSA9jVFcfIjXD
TWFCxV01pWn627l2qc1NC5ZVdu3LNjjOzqg2OXf3swUgrVxZ02wfwsGJ1kh/vpDAam1m5cViJQTJ
71kxcrIPpvOtLuJpVSaDsVGTBZxfmb735gVTuHGsZrnWKgSrLtrpNU8IHfCcjAqxaPIODK36AWNu
3I620/+KEeOvSVqEHFgk3V7RjX5FkoWKwErDxxH41WWu0HXhk+wvdts2d5Exmc+CaN183RG5Knd1
3cVEf0rzHU9su3HRLF6RydT9ep4SZ51kg7FyrT7+pRaMatVYiTeH4t7YLNxaSMQmsEv9PFKXxTBE
qpqTP6AOWwnsoPc2ybdrnkgMGrFlf4ll2NwFk5ec6rBtLtJCet3jL+PKhsn8M0WK9eyNsczW0o7g
x6LkZNtideU6UtJnRz3ax4X462Ht2vInxGBnaykW+45n1/cqazLCamR7Xqp6eiqEsR3mPGRda3sp
g5M0iUCTGPl9Qjz0BjVk9g0FIuyWrmjuRRPMzyaLYazU4G+vLojBwxj06lirKHUhIiKuBzFgPrZj
k7+WYS1fIQO1lwotIsCViLgTJcFFTsHyxWKssE3MGm1hO87baMYRbPpVl2xcPi1+cgS+/bEqlhEK
kBi+kJKH4Dd1u2pjkBq99j3Sm6SZmBfZCWhrApfRqSLOqV+X+TTfedlc6oRb+CZB7Tpcx3766irB
qnNM/P2syjFZZ6T3nrRk/AdZIKaxriOsOHGfTGs/M8PXefG6g+kuvOgDTEoaU9WlO9SD/lmkTfM5
EgyoV4bXws6MoyB1N8GkzqxQW+A/cMv+Y4r7+X/JWbQYUDPW+ht5VD29/2np89sf+L0yDs1PlicE
gqk/CaNC/5Pv2mAz4OTCKr+tif5RFTuftF8N1aUThFoX9U9hlIs7DjgDLT61Ms5blkv/xsLHdf5i
j8OqC2QKgoOeHmh4y18mSHPZ95wWaXAyZUkcddY1FHA25k3Hyz/KalyOCCBd/OqFF8cUo1H+4Dhl
+5ZlsIPwcXXGxYoFAsakmceL6/TRS05StHsnU6V+JH2axUfNF4/WUcXafy05oXYD6IBtpArxMkNM
eBowZkE/n0vAR0kWFB/jOHvnUQ7BS4KQuV0tRRuUlB6WPXN4YS9ljH5MQjc9jt5YbDMm3AOr1pAj
pCod/wO3SvGzMsUxJgrrIYMk9Nqn0r3mkTEsRLY20a/e4QAmIew+LzRJeGZS/gaKVL5j0R9fVczr
zJ675BdOpQbRb+xhuWqVuDQ+5i5S+pyOBW+s7hfREnITcpj8EqUBYLjKkLSKsYwfRsOGdADXB20s
cMAUVqjjntk65dnapFiGLTdRpSw4hw+FH3VbrA3Jm0W1rtZAd4N9JzxHQM30i+fZSpJHhCJHrx7q
+JBORbxHTh6cME6Pe7NWJNUsZek/l0m84MGqkkJQqSe2WpGGPUDpyhG3bCq3Dj9mywTtxdZCmGuS
8YY71v/92o5yeRqiPNtmnUX8j13XKMelCu/0dAJ9BgoGpKlN8OAi00LvMYrhCsFdHmJmBYfcMDvE
Z1FAnkXKkAFwl988y2LqT7SenGy24uKEBS4TwqCLR4tSGNYZvLVHJt31sI49MX4loXNeUbP2wR1S
WGh+yaJLmygWIWojn74iRpe9JeOnfaySoV2nCqQe3QSYZJf6paY87kiRz0CYrfxExZegb36Bqp+H
g9kvkmx3bFW/qLsLd4X3sZg40Zf+R9Xy0jkwNy1eokFlR4b8csv8OnOODUnn7/RfaMmmdtzUTeXt
QsNpicp1pLOz6hC9nUqt6XHpuzh7kSYeq/FpMcDyFVsL62e/BxufXqdZJJfSDgEofvDtMjgDhdim
XFuGY4nRnRkjzzWOPZ+W4SGmA9qUVm2vLLcf3yZvYmg769dzwN+BQWGTFcuz26l4OwHVg+/Fi7c6
RJWl/TMRMZg8oeuRZv009y4wuDIvebzhWrLQIlM0n1aisqhbQ15jndmUawnfe5cl+f9j70yW4zbW
bf0uZ3zhQJ/IwZkUqieLPSlKEwRJWUCi7xLd098Psn3vlvaxfTzfEzscllisKiDxN2t9a4ZTArUJ
ixJ6XsCq2zyzrmyCVS6VaeGUq9wHmv1jTv19vdQuWYxma+4ms5wJb2z43PU0UWQN7hxty6DlCnSh
Ad4YpJeQTNxpkBot1Gjc5/3ZJqt7p1J0N84kx2vt4IUdm4I1hqcJ3aEyb678rtFn2tHiARqASzBN
5XsHPy37B0N290vCjZlV6Te01M/shTd+HmRfwVG429QHWViptHsyQI3eMAcVYVdimFeTZz22bsap
FRTIcmRHUI/po2SKMoJZ0jEOwsHGeDPo7I4u5UWC8gNDxo1tVHSSffzgU4TiYLPSMCKvHfSvOXgb
ZIcM3he/IILMXz/tanxib5VsTVLAT6Jylx1pksMhsFP7wa91Bwl4yQiAbb2T8Nxi5zPbnYie6fTF
Q560a8iIuJ4Lb/nk5K77KgqybhKmC5upTpDE6V48senVV/VIyASHVMeZIirODiSLkfFhLhOpkEkW
L7cmLdMGO1B6twycjcDzg2PFqvmoadCuR8uQ0y7u4mkfQRIL+9IswpG1VhirrLn5DpUDrxNcZa39
hkgAY3CMIH6KCkJpZNPvim410zl8KPcjuskdYNQSpWCc82nb4FRbYHVSfig18xAJnAGjiJr6KWQg
XV4rPAe3aReMXweT5cpQZgv6M9vcmQEz29QVet92QfGKCC24S3qW+2QclP1rGnh729PGjcew5NYa
tNrOeWw+EaiWf+tmt/8srNh9FKBy7sliiHez1Zj7nMLoMkBLP6Wm2+EARNC6Y2KUc+gmSj8q16nO
QdI5b07HJe04DV2W3ZSXwKo7xOyeddt1XkZ9iIy1K8b5kXi+Fa1gWOqmHySCLDR6152X01cnXhoO
aZdtKzfgyMxhecouPSrm8KgONDkV2RAIHNtOvMU9h0I26pPlbOZ1si9QCt8oO4+ek3Kh3ytqr/uC
6kfhuTQGdW0PWXfEDNV0jH6n94K4s5DdyPLkMJsICSMXLR4L1ccbYETPDSv86yWJRmBiFTYWaP0p
11uTPBBFZj2yRbXxWKc1jnPSQ0JcPMmnmg4VF5uPFKOr0EpzMDVHnujTW5I1OemtLmIM9umMT0Yn
YyjrLjiadX8mcve+19hfkGU6Vt+/mo2/appmlGuZ+TpjjyfaDmKT+sRadLV99pWveRJlJp3/UsEd
2pSOLnbaWoHwtG/4eM1p+Rr0tCFRNqN+ZPMFk9tx2aC37cqYT2Z9GM3iaZzYd6hsjLHYo+blq8y3
uizze2cVENPUnzVc0W3jt+o/9fH/rj5GyM609c/r46u3snvrfqiQf/srf1TI7i8eoBnhQSN3XWlb
VKm/MyNI4fzF9FybctcNIDisK84/qmRgMH/YBcDYSBO1zPcJtPUPZ8V4D36aFUukBCYkO4v0JUJr
f2aNNVEf5Gk8+VdMfGFPEmtr4e1nbjA2oe6Mml5RsIlBDJwVThXdVOXMI7j1TAPB6NJzVT7mdOtG
ce4632mnncHS0Y2OQcQVHWpngGYrGsBQN1nCUFzsi3Yo3PGmNzPF3m62BdUBA0+/j/d9lxf+9eA2
3QcBrPeYqUQUWrYBFDfxxT6H0wOwoolXCOT8SOA4+xzC6hS8K2mVZrPhPEyXg221gCnKCWZ+mHbm
2vzDFeuOeRPo5g7JUfbYNpH83OWLg1iTh67FTQYt/cqHOoWPYJavBmPbipeY/WU3sQ1WhxoXB8KY
uSx2+DaD2ww42eeGFc7WkNX4RQ0uTxykjPtKE06k2jXwGRruxLPdSQx4VJWB124pYHXqPPnid17z
ancOLgGrUvKjksFHPs03gdkyLh4yOBz8I7oM2nduladMUmSFtetTR4YTcnT+jCObe52CSg3NeTa3
/Yhdd0MRLsk50hVHohuBbxstbziioijutKW7F5Zu0clu5/GwLGK+l509n3kwrkYECJTGJuLAPrIa
VV+5Hrz7lCQbZzdUtnGbFGVwYNLFKrqaLNT8ffmULIISPNDVHY9YEQ5TzDLNDXr74nqD/clAPIbj
r7GdWyirKzqIcrkQQpwGZS0IcLx52Cq9jvBs+Dssr+3NaERM1UDEHXOX+MKQfe7yxZiLmvFjbhwa
KAXQae3lA5eCIHDGqh8Xc45utNFU15UR6+LgLsZ8O+nFHyy82YPbs7Pb/PFv5N7ukFwMz0b3Fyqz
+O7lHIgRac8pfHyi/5B0jzlxl+QMpnKP+BQ9rRWM0DNJbBiXHbtzy/z4zzrufzVxIPOVg+7PT9Tr
SiPv+WkhZ/32t34/VANIXAwX8DGQs7YOCti6/X6oSlZ1riCETQTsw1bs1/87VB2HLR65ndIPGEyQ
pM3g4/dD1uYH/pawisqKZd4/05o6677tXxQLlmU5TDphqAjMX4I+9cd9HHPEUVfKak9eGcHNSVPD
emC3tmBJhbdYNWmwZhcjNugMET2hPGxxypfR2WB0fe5ahBUiR21TMbQ7YFCGYT9YOTL1IDOegrro
tkyPPbTzZi9DCzU4GHWkaekq3ZrAi78wnex39SqBwdYS0dy4ybQF/TBALKFNIrKsHZHMGMuxamis
dan/Trr201OGT2BV8yJ3tB0GQITW/PgJEKXdDtWAdAVDz3THBEAe4hmlmd336/vi9/6XS+R/kFmu
6t0fP3Eero4JqoGnqcDu/+Pr2cDHJzZO9Wk02N5Mcf6+9jSrlPD3SuhP83h/1HN66ztjbUtjjx5F
Wrbz0ztbKAqXDpA1w6Om29ppilpoZucDaUY9DnbuHuYkjR7+8dsTcCxMHtpAdE3zJ/Fyatr4XEow
3dpPSDM1VltBx9DL2+rJQ1L2z1+N1CfKEvTavlgX1/+6To5lMKqySMHt413PLmVbLPvJZxh0q3P5
9NevZa2Yu5++OSm4WzHiAdBikvjji01ZnCdFZqpTk0w5DXQSUdQ2TUGkbmsx3JmT6Va3mucPGqDj
kou+3sGy6f7xe14lZwKTp6Ba41D58dfIrU7MhXZSuEYZosOpmzuoLFH0JP0apcpfv+l/v4Y80wL8
t2YHMwG1f0L/tY3Mnb7101NtLct9hch22xvcwTUetuQ0d4pmWJSgLP7mdf/9LvFMAWlWEkIoBamd
P77JLE5HFft1eirHhtn/wLc5Onoc8UDr9J+91iq1Z1YiLSQQnIJIn398LVcZozUkUp2URQEH0kCw
xTLb+SoGmPH815/n+rP+5Rr6/loeUk0UxERke9ZPX15awLltDa6hZV5Ga1tFojjnyhl+N4f86b3/
00T5t9dZdSCrjJ3L1f7xPWk/71q/mhSyJJBcrM5S3hR56fS2A6LsRKmCjTp2PbVZ2jqFrVLEyd+g
tH+6dtbfgYkcB53lM1k3f752hpkIwQZkzCkaOgpjC0TOJiYL5hI5c3GuYHhsqcvnv5Eif/8If/qI
bY4gnzUtbQMg5R/f+kAgUbVEQp0SUMKf2tQvzsQZz4T6lcmhdWrAM72xaijGeYpFiHZyHk6jX05f
GViTolAzWz6DQcLGtvYOkYr4x5Iav4mc/vQb+p9+T48vhtp4xXj+O0rZc6IRDr5xRBDrv7Oqc9tw
aHLJV5T7o09hnNaMj1PkDjuDmO6LScTQymWMopPOKvdK9jI64dx1bqThd8S6DUmVwr+TYjj806s2
ICcWKDVmGSTGP3dipoRl0OWjOhXSnDN82eQdgLPp+t1fv85Pdz1XDFgfvjIhcHyucuYfvzplIAyO
jE6dgPMv91KtUs8yqzwCK1zv8a9f6+fj/PuLAUq3v6s1oVn/dLTNQed17pRynMNd2cZBNGwZ+egQ
rWnGBG4VPk+sEC09ic+kQ8SHqfL6v/lgLdNb78QfL9fAoc3FP0RRwK/z03vO29qwuTOio9BjO5Mb
YHOY9nJy6lOs6+Weds9891YJu4KZTS9UJ4A2EZi0Adxq1M8gTEgu0Xq+Y/CFiLtr0hpUIWHUKrSz
Yrmw72alg973Ycmd6NuAsfIlmHOSWfMWBIhsWn+dz2UMggPvamhNDlxmavYDvBT/kQAW89hjkblO
SjTgW5N83CdDjMv9DMlZb/IyGW6L1uzf8giy3GJQxtGcIzeVUxmRPWV49bksGqaUJTuf49JZbrdP
RbJq40W71ghVhligbGz3LZGR9VHqwnkeWfk0m2lNyA1JvXC/5UPvkt/R4xTddUGaXPAzF+CCOFqs
dlDvOuHwZkPvfcPtHNjYeikbV+44e1sihGK9NxPfPYyuSTFUiqn7GgiSjcq0EZ+DZoSDwSCZ6427
P872JLzx8phwjfvA7jg7zU6Lzwuu0+2Uyfgi1r/beRW/xuwhWmnUmnAuaAOfZOXMF54z+UvTzOPt
94838vHM2GVi3tekBqBsXaCQn1Bn+s7ZNovkksWSnDC0PWQziO+nFVStq7ZfOKECazLIa8y4ImHr
oRb9Hl0HD53PbvYCeDytaSZP7qTcTxq2igFSzizvnMwW6+SWnzMCorz4PUZdrK/qvTXlWG6itp3j
g0Rfu2yY+MBQjx3nmayk1t4YNp9tgaHkPUdvt7eY5L+lHinsG24aBPmRKsBejsbE0DADyGcOzXSr
ZrrXrXAt9SX3e44mXJgviHHcfOes12ExVrgLNJP9NZu0Jy9wsihgrAKCLEgkriVR9MsFMxhhdxGt
14zQfcDD4hlAbYhz6rY6WV0jKW+ALKaUIMiw4wLb4SCu35IR1UU1BVy94G2ISInYWx51QseAAdV4
8tmqrDABd77ERp6esyDfyQWbP0Oh6RbYUrPvU2Ed43FZs3vIoSBqq0W2myhIaW15NcbMg1irqa1v
d6QbOuVy1o3pHyFxRE9xL3aVu/IA/DK7zLxaGEWeuC0WccjUwiBoDUsxVep8DkAcIJ0rWBnObOIy
yD6mMS3ofmw7tJj07OWEsdZtyxzxwuzaL1INtyou53NqyX2SsPJiaVmd2SuzWjBwrkNKWoOceFt5
FrRhkmX5dh6AwSCrjjY9WrlWdM4F5sBtOxFSyuhk2g5z4BImbEOYatSzH/nFjuQ++yoHHGHqjMyl
vhwPmSxACi1Y1JLF9BmUwKFSMnnokvkd8OdbrUmKSQHWbWefzZANxYM8pOC1WV29jILqnHyUgKea
ru0v5OeeF7IrNoOtbhKf1LrM9Z+GIbqqShG/9ozPdok7T+ckLziA3bVGKuz5xleOc8E83txbyOLP
xkA4yLIgyhLNmq/rFqmAV7AeInH3K9u/+jhbVaoBIw1Rs5ljJz1blVtZm8iIxbX2cn6hKieHYTPM
9vLsLa5DPviaLdsPtrxij9fcUii5yXbEN7PNBFJ77BbxM7SM8XGuPOqHqkP8uQF2NF+IhXR2UcEk
0M364CsivPY05T4S1WYNB4uooi9tbD4E3jg+iHGed86i9W59/rCxqmpUKKpuiruuh10guNMQkBrM
aDd2VkVhO1OLZAHE/Kz0u9A3heIoKkeWVBFPBBFLcaxTWh/GVRkJn3O5l4vpHjRQqzpsa7u4Jfjq
ReQLap5xDZ5rlgDyJ8wRMpvxZKR7L7XZldVkGZVp5t2Zeur2vtAxYVrxeOXoaduTjXlOR21iREN9
9cVBWRpBK7I7FQ6ck6cSbeOZRQ3gBXsMuuMyFFyYKbUDLUJu3OdzK3bF3L6W4Av2JgF0n8FdBt96
d2Ld6ZcW7sbCE5+mEeXjwfSUgX1rZO9caeqxcmqO9bLIm8lo/Ps27+bQqao6NPpGHOmgJcY5y+43
NaE/v9Z2EOzQsc44ypyLKFzzIqMW/ZUrrWvUziUlzBrSK3J5n0cNFjKi3x2a/zRB4Zu01pMBVyu0
CMQlrV0AkfCQLPAQZnFOOq/7MS1mdy8AjZympoQSWjX2NvC5BFiJojGMYu8wCiPf++xKCC5QLny/
rkJU1DlQGaz0FKWNvZqC1NYhnLYZIusweB4XtiwvPuODMCqkfRc3Od7PRjjXMoYD0tYLfkqvsbZF
MFaH3ATTSHZ58Kah4oUcNE04dKNywqCvWjJiIy8gDqoknascEf0BCoxfSnNybrQZVLfmElH2w9v0
NzUeinI3Z0blQocZ8gMREuKzB9zuibcWX7FwCypCE9eQLUPOv/a049fIPzSDcDLON5iBhi4E48Iz
HeQpwWnV4N3Qsa8IN0aqRBNW59yacVaAIL+MaZGj4fD626CbpqPTdAleOxkci2lpT2NQGpvBioIr
lMLRhXCw4EBgV/G+4rr8XVbL5pOLFGTv+2n2TXqFisJa1NUJ+gKzpDRvXwTpTGRlTbu2qdw8lN5C
znEHyvHNrN0UeIjRGae4RvTGwxXwXgPkcIv6WV9Z0QwTsEoxkGq1ywr7YyQMmkFwDWXVk1DZyzhe
I7B09S6scsDHlBJcInkGwoRcDrPHwh33aH9nmUP3nrYZZzY2iiLnEGizuA8HVzSZ99xDwBTdB+Ik
JOumW07Jt8QAPNKrjnyS2O1L2qTe+Nb4SXmZvNq+UaOnn404Gt7dVgWfYy3bkgQVaeRoIpfA47GH
eEfgSi2L8mj47ny27VTGu8IfcJ2yGDWzokF7McDlSZu02sAFskKqqPhmtmdBCBd5R1ibI/QtOVnE
pttPKIlT80IyRY4CYeSZgQt8JiMQUyOyZSTOWFFSWNBWtGpMWpg8W5LQK46zeYkfAye1YZNhujx5
cuIxYjEd4rrM5codXownhYMEYXPF98ZD4eCYdX8mKlF/1PRGdBjgHkosAt+aNlBfIuLRiGmhxLkk
uK5Ltj/tdPRNJ3qZPdt5M+zawAOjx+vou3a2XNLQAiqJ2HOSz7CECUTRXvslql1FOWnKsOnUM4Ux
NLXIh7iTNQ++A1VwQYq0cLwSustFVbyYXmluzMB4EAM2olSU4LoFSdWL4W/akkUtKoZiM1GcbIUA
hmiVCAIDemz2p3A15aTes9xG+G3QJwPbIehlxpvETsPea3/8tYeecqCXJ1AcG8MeVK0Is8I/213h
hRYsxU3hrYhNGYfsyA0wilzOZjpZV7NXHPRiIV/iByeEih1IuM82RTHnB9yD02Pj2+iJidq7QJ38
ZtSms2kWTBP+MNhnxWB31zHNOqt2zo/SZDxgTwNSnrrVhxor73vWo2agx+epQyF0Bufjgs1Szb4Y
e8Qy/ZReZ9Z0yMACb+AtTyFNtc++Z7odsaFABpj8o9diezMLFMhdg7NXgyS0KQXvJqsjoDhPWZ/0
HURT8h1ro1oOlq9WPpX80s5GsW/n2r/qa2YHqGpPoJXuUbC9Kd/dVxikqVPkDQQf6IfN57FYbjXe
QvbYz/i7Lxy5DIzYvl/57fItbeIXS8oHYZeHmmo6LNP8TZqKdVPGkFL08t3yTMwR7boOMizvucoV
yv/Kfp+kRWEFM2EbJDbQu7bfkqKwT3V9NSViRIjhfxSDrHFIMtUGfUJHEI9afyLr6GMa1MnHyLFv
cMiN4Szn+BNGx3hhZR5kZ7etgZ7NqFor5SDA3w2NesWL3B11n1x7zbMZDPqpCRq5Szr1KJw4OYoR
wnzbDPrVsNtgN40DElx6mGutW+PYTvAy1xTLs+co8YpPrSSvgiAcbIE4TFXjMx4d07WdgOQ3kYRn
UUKr1TS9IDq7BuRutPukmB5w28qvSKFm42zUOQMdYJtdYB7sAW/FVR8UHTneZPLhv7Db9efZTQbq
l6EzxsUUB8opRkMi92LM6nbDVNNN+42Z5taepEt0Yhn10FE4WoB0RUejtp1Rpc3GkAxN/W6k5cxQ
d7cQ6z8HcRZ96yKfG5BXZcXgoRPDkhrQSIGNqGiLYi57vYWujUM2XncaKNqiz7AajV1kkJRZVrC6
U7VgLeYZ9xI00XwxXI8uWaGA7iHsmzep4YEf7VdPW6EFx9LYpU5YWmt3Yqlp+DVd4Bek/mxdmxbB
rVbcYjPOsBPGhcGQO8Yn/GB1Xo+sA/0z867BfEfp7XuXPhnWlpeYpzlMvLr7BC6a0iE3fPNQWzhm
qe350YZfGiCzaNC3HvTNvbAISzXh133xSb3dqpbyjyzV+s5r4dghNzuRh5qGJPi1JxuzTqg6Jzo7
icdQgDXyJdCCGcG6qfn+ekPtEltS+S3KfEz09AkoF3Fcvn7/IzIoAC75tP3VyjMQcKSPNsbet67o
6cHwdjIlCJzxdoRXvTVoNtn1LOT2yYwPk82yRwBJj1R+HRTX+cQaZSIuWmf8Z16omhArBWLfIFTv
XGAxOftLXx58gqQ/VarnDaiUn8g5stx3DF7uPJVbr4U2+dbLDABFNE7tqfXK6S6bqHcXY82izTT8
iXqe+xBvAMbjgll47dH2NUNSY6Cc0+ZAqUZvr3Uu2u2QRWQBqIWpCMNLDgNN5FdkIhqo3MGDjR2Z
RcH1j9P4WlZx/cbwD3ZqljJRDJYr2bYdgsBc4s7m2QFVq4yXat9n4+heY+0xbzxr9K6qdGFDtngM
r6IlO3+/7gwczPsBzwDl/0r7aPPlPuk7VGHDtPoxdYIo1iiZrqHPdJf7XK+fSa7Zsln8J9/VdFMJ
nLE+Q8rQxf9wIZW6PMA96oEnYY8WM1BiFJVEYEAX3fsuV0CPqF1tIJjzA/PUf4xtaexkMpBngLl1
2wsyq6dSmK9YjZd9VrrtSeAX2dZVz6dlEUQAqMsR82XgB8GVbqW3bQjkfE0g7aTbrM/kQXVc94lB
eY0zFW/w98GThfb222K5DJUIoT04Cz80ncivZpRYOtC57OG5t1nYS4twyoEY8jdyuac7sj+5dYyE
W9h1cMV5wLDPUW1Vb5noeiLoJ8OBEznkJrKjPLIeaA54h6XtM/6K4jijAsZjd5Clsq/pW9pP8G/4
AwVZ9Gdd8TENHZyIMesh/a03rN1lyddiKeq3JlC89KS74Zz3RBz1jFyLjSbl9W2BeR+bTOT6hr8n
W4Udqg3etdcRR2spWo++/ijNQKK9heLSDW10Nnu+nb6PuNlxtJF/MUsmFqU89C1erxXse3EYgV/q
Att8O3rIMxZ/sa6Ie7awHvnR2csdfvOezsfblhyHB9PxGH6wFg223noVjGhjrr3aY6SArAcCACkm
7WYkH+Xsi8V8j80UTIIfGBWm7pp7umo9gOF0p/AnOR+lyycFPcx4AtYbfRPAggvygNdrsF1j3wSm
4LOKbegJATge/EAr3iQQtH3g8YdfA58+OaTBmF67Sk1fpiFY/dIU5C2j1DrG3lEC97QBalxb3VDe
JGOvn5Q5Bl/rwY2+KRw858FLcFnGI08mV43NfvbEjOAbbexpkE30OfVXskLXIlrdiooB9zav1R8Y
jf/4jv/Wd+yu4oM/FzpcVFn+2lX9D/4K2/r+t/4QOshfyExl0gW6CsUWy+3/L3QQkLNW6mxALf47
b+sP9Zj8BV3EmjREgf4bYfYPoYPr/MJSjouZpDX21/zkf+KxsCz7p0E7WAbEFjZXJnQaBG3f9wEf
bw/obbv//i/r/zjcPEXvluZVaRpE+mkIbqBSyKGPjqq3pnqXYZyo8OkyzdhzwljOzq9759cJiwTT
xkVBbUZOeSH5jKiPTQP26NO0IAmmqiRXZjt21nsc2PFzMZGVzvbS+zS4bn9pTBxlDCiMaK8q7Ark
CRqCKSf/Mxz8SdYHA8H3EdR8eYWrH77l5N3nbe+8G6MbzVdm19Bio2HoQTeiBXp2skiL625pFqCv
rIrgOLuFo7+mywxTyO5QUPsr24HCepm7cQtbBapfa2JRo9b6PKbeiLxNM1m/ZI6CD9KQI1DvM77b
xzhC50YTyLh5V+eReraSuUHWOdLztIwG/JPreyTTw3549IkSOnWiTw72lH7FgTvvlFAq7MxGEVFE
6saB9MKnmWDpOx+AB4xOOTuXWaRRsWWOTzZ5yXJ50zJ93vWW8TYxtt3gBCzGNVcJ6G4pnV3DCo14
DbKit0siGm+3uEb3wHjduwwItXdWr4V10lI2FXRJGb0sRSAe63Uk2/azHZzaqHcMsjRqL1/3SB12
TnCMrwPJzTvDsWm1fCH4DCjDG/zIZ19WOQ0Hwl0WESOoFuaYJqabebyiSEWVbsR1shPwBB+aMnaV
eYhiICiZhZKrR722sfvxODOcxlgbkFAZumi19sEcRUTFFfZrvbD+3CydsTzJXGCBAH+2ZmYwM81f
VBvoEnsBQjST0DmXHnE3MobquoOt09kEEBJ7JaDLNCc14o0muo355ujoPS/HAQ9Ew25qF5ZvNGIH
iDDLcoqe1LA8BEnk89hnHpJl1ZiGyqNLdZHVhIkve4CLfRds8sVwACl79rjLl2gIW8j5jLzEUzZ5
28Kz2Um1F28OSH6BuStUtc4SkWN62cGdiugssnJf+ln3bBjJ/QSmZNPyMvt4QWxYDPNndBqUtEJF
WFewEeZpd2paIusWv0mvm8IwT7WHUQJ5m32WBsjXrLNIwjMSGEssOGhA82o/Aje5MvJ5OZkNt6bt
5/aznO0vZc88u8EJtUmT3gjdPh32jJV7tNAOeolOje9tRW5Gq9z4qmG8yQi5ICmrBm5n8GB2iTp1
mdRnmdFsVWGUYdwY0mCmmCbok5JfyfR5FRP5WzJC0+83Jksut82IM3GDcUuGQnxdrpPhTs31gcDs
x14Z8OgRWDHv9iIm+ql1x2+fXqUgBFijTH19gpWAniKvZ5pLAMuCm+0IQp+ZM5mylJY90qcGHYT3
2Dj5QxaoaxCrB9lqk1CB5Qlr/KEyO3mGD/dAa07OOW1CYM67OOXTj/0kDAb3uWuaQzBPl9Q2MClQ
He/bOu93Q7QwGIzcFwAreKPopNnH5L/mrklvVY4+BpdEPyoD5X1jWaHs6cya3uMQVMEFPi705WKa
GI5IEH2B7d6bGLl2BWipUMhh5NqqO6vk+/APTDOYESYS4Eybf6DwVJsGCdzZ57g869aJ2PY56Q2x
ECnB6Rg2uCtW2l9zj3h/x0pvC/+hvJloIt+IEACCrSNBbmLaGVd1bbsPym78c1UTf8MX1u7rqZaf
RZO8mkZHzq09fUv6gvWO6HQI/Sjf4P2bQ8+I5FnP+GPJCpb3DDXXps2XpywVD5Hf3tNbm3uOCcaR
qTFiXsn8/hPnit7ag4iGTe306U1qU6M3fdYfTL6oPaEk+saLveTBmSZ5aSfzYWmNnhFj8bmLWfKk
Ut9iPt2XWCI22HHh0ZbdA40ApwsDpEib6T51qGM9RrJvUJtvSEjj6YCDb8osyu20f8oJT97bhEU9
jtl4qQ3yRCarT5+FkT57sVQbUmjfukW++rF9YvDFmNfS9b7Icakk9rgHaXOq/PSAMJnSLm1csMRx
cxiD9qOkEN3RX+J77e2nOhLElJBBS7AxVrUrrxnNm8RyHjQZnHmXvPiZjVWNTHSCcmYiOuqdb8gv
DIK70HG9MFvP0toI7oLOOXQ4Fx4mvjrCB/AvhxyjwZcsiq3X3AuA8DiCW81gZ4UGkG4G93aTnVmb
93uPLfkVUqRggyJIkUkjGTNmcx6AKNfLKan6Y1+n50FF2aHPTRSFQC+hMhs0/lkeLpEUm2B0Vwmy
q90P1+D7WqXPwc3MsuQ+AW61wUjYXHK9rh7GgXFU6iXv9eRDDbc1Nn+kyOWYP1susuWoukhWPzhG
pNzZ2LGHubtplCg+hqk8ymB+RUdAJgrvh6FFlYXwRtXVMDsnxqTWHjIWS+qYBvtm8lyQEh4ogq1e
EuvKUx40YsMhkUXHzmf2HyQzMG0oCRUFHrhDW0m8R+GUd1gnMc9ULenDPc+1WhHGym4q3aINJC1b
1/rajssoVLZd47U3FXsO4zkxxvXxPLIuBxJtBN7NaAr7BbJ8eWvGNTZ9d85dePowRvRDmRrBSXbZ
cp4G59mdzPrdaAcjJne71NneEyO2USe3RmxsbjUPR56z9m7o5QeElTsrEQqi9tg/dF55RxIa5tPM
uC/mRN9mk/q0lvR7PQEvaBb/E2Ei+RO8+TMqyX5n8fZWhHPzhePVPY7WHL2teJPd6EUtXjXQfWlF
Opif+wrFaZ3h+cYJp7rh87ou2dGLGZd4GLMXkqTROQxd8M3XXrzVjNPJWHHyN6D786MYmeNmOvjs
ZF4dFkEhXgTh31ugDyY72SR9KmMGwNNodgcSvIqN40zVdkLpPe75wuC3T062p3PkQJb8enFL1GqR
fq3b7H02DfEgZTl8AqvMtkUnN7mZeexmeWSLtLYANqjWTcKlJhcJ1Vl+BcmpOqYaPMnSlfHFsvNj
n0UZNGdR77SWABoK8sM4bhN9bzROcFyE33wyFnms+nl6Qmzl7i2pmJzJJVPXxGx/bbLgg9M53xOc
Ire6jfQzmBBMBQyea9nOW3b5ahfVPg8IJRngwsFmSGWbzKyr1L4pHUcx3fOaa9gqsLX6br7GKiGP
wMImNL7NBzoBK9RTrqy7uh7wMgW6m3YOoQTIVPoxYR5NIb53Czfj4dUZJQYFSQauP3t7lg3qxRxb
Zw7JCGXPabizg4nWsd7L3PPfgdYnjK37WDIaYjxo5RQMms/cXtP2FpSLFMADVryFcF9tbkvHviVu
yHW4b8tWI36R+bag8ggT2vs4CVnBFWNy1epR7LNiiB/xkvatdaHQCrFbv8CkOfn2+LWKfP/Q1GJB
d1KTFhrF/ilijLhZJk9iYmBw17pnIB3EgzE32OYVaTGTq7+gVcHMu0DvLf8ve2e2WzeyZulX6Rfg
AcngEAQafbHnSVuzLPmGkG2ZMxkMznz6+qjMxElnVp3TBdRNA32TsJHWsCcy/vWv9S0FktTNQWhp
XLjsyKpD7HzuCBWKgbRyWhptZxXrtD+V5rANtbimcSqeE8fT+1x58pzERXWm1a1YZ6wipzne5X2t
H6hrdPam9Y3IBgemNKy2aRE+I0gWq5x1ZGg4YoN5R20aV69kn4Yn7U3llsTLYQZUty40aCBAUta6
Mkq1ThyYLvlYczmBFUNTNQ1pNbzyOYu/DgTq8MYFO1PyFBeBeh6rstpiamLplBTnwUsm6tJkgXuS
o2HeQtuD16C4J+bVsaqch2AonL0Xie952T1XanJvDQ8lpWBOsYlasHunlE+rdqOAnrF/cPWNoUfq
fmbDfskHjWcvL4DTtRAu2Gpxq5sMhzZ1EjQUBq7TGNIcxQtVdcFpAipUjbuq4UyXVGHyI9OQu0cf
zF7CuxzlAzKJU6y8UYbPvpVf6rhzrprW9XVXlz85/DYrYCJbK52rNVUesG2c/naMm3g3A1Z71lCT
NrnTQad0ymDr4NPg0C1BPEGiw8nDxWWClLYLTLe+ejL8Zjbw2oNs9PZIniP0dwqgggYs85T7nHos
FdyaKr2W49RdbagXRVUP67nRGfsTc7qyxDsR8sAC4wE99/ueaHvgDxeKYH5UzBu5ZbyBVH2PlEfI
uekujLkTT0a2G/L5GMLz3M60kOXk6CURfcsjgkQlnzrAyLqrE3Fm+cjlMaaWr6ODYacU421va7EX
LUT8yoUUlaZniQbIOcE8mZl8dv0Y2mYyv49+9z3sIjRuePuyEvdde+NX4XNFunPFOBV9NfC3rTtW
x7RmzutI+Bci869SUX8ZBNU+4+a4siOprmFop/SbmKzoHXWfDpzOjCY1120302OQyci8ZiEbHTyk
d51Xs0/KWBhzS6ChjaR8z6XBNMhsTlI2R807+Ouk4w+R0cKK1RJakLAblDEnb/tV7BZveZUW1TZJ
rOLKLQtXy1iJnANepf2NHevyfmht9ioGJXZm6mX7NKHsaK1sbcbrKmvVmz1YyZrlC1QmV9XPQyfz
Y9/H/ZFTdXYM/LjcQ5FydpjhovNgdt5O0z4K3prilCq4DfBC3ZWJYf10k6Y7z3HinViD6gPEsUWn
DKedOzj6ySmnxWJuvzPDpzfoswz4kXk7z1HPvr+KLgBPxRoR272xTA8v2jyOe4ETasOao9r1YCF3
bUC6Q2PNCOn13vfsJTfRCHqtqKmoIa2PP7cDs1gKSjycTq6xXostHLPw1rNab6F5fZNFR6WE7b/7
Uc4zxqH2BqRLedDpdGTXwTpr6K+YuRYXXkwZeRZQzmMmmxqD8iYt4HoZCmSLw7kSugXfvgmGdcdn
J/JGjntM/TvHTkuUAXtdjaCKYgD+R86NR8oFUkxvRb9bWoq2XM0hshVuuc0z+ihjyP2TIR+61HD2
jMIoLmJM3/osCDhJO2Z2w616aTVnWrhOTXAum1KuVJY6GzuEBIOLfm30jB8wGuqzP7GUJDOdHJrM
WcJ3Kl1lbWOe26xuT00lftZzdzMF7J6W2cKekyslweEWokYBS52XsYK8SJuyvbXynG7lwbBWHsuN
TVZL40yJLKw10NlZVdxEnv9SyaDZc76u1yMFMCtMC7vSMvfRgN5BCI1Zxo0ngHhsDg3ZUd6TtB9z
pe69qr2ZFCWlmIM2M+gbVAbmLFtgBMGtuhpaRPgQG5EnmrUZj1yVXTM8xPDftnOmXA4tFEXySV13
rLlXZtdyjXQtveEA+K3302+J7x6lU9+NbTUe8eLZeAfrM5foFxX25c7pxi2jFu9ka/LXbc9en0+D
eZ2tzt7jb0NGmbnpOq04amU9YGM+StoBCb7TNF9bZcCgM5dfasdANhmGQe7s3Hri2vlg0yXMI0If
z7yByUsO60gzDrYGVLFZrToUgY0VJsMplixuXKf8hj05uE8jmMucZvf1UMcbbxTzM1nWO3+mZ3BU
lk2xhblrG5ftmcYVDoLBNTYenZAU5PnpUxHGH9Kqr81snzPpvQvLhor73lps2Fv5U/eTYsxNpm1p
4StoimBTpyXoP5Vu6NX9qdqFo2VkX+PaiLe1YzNkKohTEDwQVSRayYwXY1OWaAGxBcONq9bXtErv
dMwFet102hvXisDYLUF/m3xV7LGHiFhlDj1DeQ9dkH/EnVyRvaSaWdFu1EDP28SQ6IfaOyvaE7Xp
wiwCzdKNEFV2qDjRiVuWu8K+5wOrsKa6u7Bi13unAd658j12PQnQ5zvJVY04aGNpl9VqXMdyNXIi
b58MxyuaXSEb8NnayPD2CCtGasNewqewqO0u2aXYqtjPlzxHLlUv7M+Nybx0vgRNnI1+1l5CEvco
FqtPEfp/Wq/ff1QLPrP538s3/s7hgutc3P6fX//a/Pb36KNaqJu//GX7GRa87z709PDRdDlf+pvL
f/mX/7f/83eO579V4l3z3yjxTUM/Flyp5M9JbhtnAl/3hxYv/0GMZZHn/1ZwEVjwjtBTuRn8M23I
H/+IcENJ4uyADcLGXej5cN7/eLB3v5nWeZ7+y4jDYl3/1dq+aO2O5dMp8Gnq/9XOj1VQxm0fR0fg
D/ONWWjKQlMGjZWTA2DZmBQdfKd0rf6+EMZPf1pQ/P67/LnNgOXC3366S6jHkizQROD8Zrz/k96P
FA2qGEfjsUipVKWbbd4ZdsPnkj0fu7OW1XFbuwBybZht6cqqJwwQxImpEWaOfSZYDtSkihqomVzS
l3oZa6G2ZKGNtziBSo8tggZIRaEFPaJp0s3nMPGnjs+lsrcQF+abwMeSzG/JBXbCCpNd+7jsP/yU
6qh1nbBs1bFgmZfChnqoDa6jOsUjLAdA37PP76tEPMHxdsIThlOeN0IqJVXMDrsw9pvqXQTsk6VJ
e1TZGeI4dZguIO44nOcP+aTQah+tcO6Mk+SEBxEeidn/0Uci8nZD4HOyNvswSrZFF404YLLYcN9i
M4B/swo48sfnqhWZFJR21Wq4q20f/4IfySG6zoERy12VTVb0gO3a27FZLWrMg1FhciVv0Mw27OaF
e7Sc5V9GFqmU11Fnim0/lulVZGRMGR6YcWzSJNow8cODE3JtZZ5Fu/yq8EICYisU9m8Fm9fb3p8q
YqRzjjrtT7VaoVXJVwCircEVeYB+gTtw33nzpuVvq8rs9Xc3rfurz5GVpi8zEgcQlxYzgF1thjDs
X3V+T+1hvgd/g5u7kfleBjule6yxfe5xr+NEUju1wtlHD5fLSgC7UpdUa2MKwvvem8ZnbqTZq7kE
HX1yEGvhdhUOvsz9MMoxfZBNO67qYKw3uPTwbZdWcmxlIN5SF9lmiGPKTn1dHqlSak9OmB9sy8of
SLhn9/3YlhjcMCuzWq3pUhgoWarK4xhMTz4XWo1JJmi+uZUVPhRZ7G9GJvRjFmHhNoe2OPtm3mwb
PObreE5yTuN4DGrDivcRFMDvXgQ6hIFUp3e94dXvUc+tnwPIZF6DSS6A0dQyTmUMYIdRqTTvNbb7
/VDX84uw86fUUBSGeRGOH9vJvifw1V48yYfKGYQDYCWkqYWxGoF8LI5aDB8hmMv3GeVyGxBRpMwm
jtp35MVtOoOsteLBWWVqOPdO7N7mGXXIop9p8yLVWB105GTHipzgTVj51hs1BfJKhTuwEXvAC5Bm
+ZFcSsCEUTVPDVyuWzG4oLBEIcg9TOMVUiY7tUi590rF1rXrVfpal3H6xitKL+7YiXNXzfkBPAkk
iNnJv6uo9UClUfuFMU7Md4TYeoaqGv0zIca2CpX0OdG0mDoNA8neEGNyIyct7rFde/CMlyRCPoK8
Z8JPklPJ4HvbIYhcei2SL2Njjj24hsG8UVmfYAzK6idY48MjfRPqJPAmb2nTCd5QU9MX3XvtuXUr
PBsI5enJnP2ZREYRF3euSQBMzSMJ6dmMNiYtrTtcYe5Pt9f1nuTo9GVMbbJNAe7sTBXH1g1vcrMq
N2EXm3gElvVZGR1tWJOTC644DAQHY6f7QWWuDdC/zA9LWciqdJnWLLb3e9DE/s7GpEF4w6u/qRDw
kYnnGwIGxlmvdIb7tGLspVF5OlS6E/fhNEyvZMzn725o9fc8IeEtjne8cf5k4YYdig2fkxab/5ge
BsAKeyy61KYUXZU9g/jP97zsfFoMbAH026sfAiAHYIcC9WIMTbEdvXEh+er2DsJXaaOMTh6bEWou
SHjZP2c7ZoUDtqzjrcwgheDxpMasv4nD4k6hU17tyo5ecYzn+xmO0m4UE+3w5pSYN0AecY7jb7ka
bO7up7EnfEo7XHChFyffBzmdDpQX5yuLD+qp6yJnMyMwA+Ec4GEmmRWdVMVIE0lvsbGJ8qarkYp8
waUGtfVseG56smvHevQATNlrszVItNQejdQpTicetMTH3TVpeiDlW39jU8lSL8U0OGaw++rK/poy
sh9zQEf72kmSJ0unzUPkt/7VRgvELFvPNN5RZ/fclDglR9dfzC/KeFfAVbmjWcNDnmDxZhHY+PQY
DdMPUi/phEG+dg9l6Q4nIyr6fdhY/bVvNXGl3C53MqnrlwHD+t24GJ4J/sx7Adv5njubevMWd7Rs
S//nlGQtixaYbKsgiH6gfqRbJ5nR8Vq1GyrZnaexoRd8MWEb0EmydbBYs6WV4dI2mxzoW4FGtu7x
G4Kymg1smLFTw4fD6l3hMTnKT/+3u1jBS8eipy3o6y+SCkVv61RR8U1EkdyXi5Ec3qE894u5nJo8
DblQIolnOIonm/sbal6bX7FKBbcpvsabbHGrd7JBmK6M9iZsDXZhToZWTovHyqD09AsNYh6+lsX6
3nza4JvFEa+iRl7mxSVv0tfTrYIOUCm9Udjo4fAZ1HW5wFnA0u3HT789MhXeey7aymO8wZLfmpjz
2aOKa8L+lssSDQpklTBfpouh3//09nefPn+MXPV66atej5Uv37MlEGAm4t3pmurGiEr3US65AYgD
4jK0gcNlcLLvpsU4EIXlzfICnupcWPu5pWAQ/OIG3Ip908k2PUY2VUnQquGnRLZ49pckw7hkGuq6
cvfGZ9AhIPIg2f7gDU+wA1ZkFtmlkIxwI+c7ZGHiElargD0OffBouRgSyrqxCeJp68n9DFsU+Nzu
ss8Iht2PpDGWXAZxtYoWR3GRn6ENb8lv1CbyrOONp6C15dZKjPoj7hICH8aEDB0uKRAWX2rdLMmQ
MpyaOzXn6m6peD2ksW0fYGmW63lJlQyfAZPQ0v4XzgL200jp7rTqwDz+lIXRvRVLPiXM1CsxHKK3
aXAvbN2kPD6TNkvOKc3B/oy5pG0an4Yl++J9xmB8JNuQm3Y9f0+ULmr2wGRmbMIzbsXtbULC4q1J
+rFYMjbhkrbBN1acu88IDos3P92Iz2gOTojuKqKuZujWZDZ0cdtjGFFr0NrOnvtdueuXrA9K67Qz
Ess/AHaXt59eUYL1xIOWSPDaSBHTa9JDHRFvNtgZiSKIxlZ2dPOInldCb3fDZ/qICBxJJN+sOL72
zbSFxzY8eFrHq2EG8+mZU3mLAsJyNBd4LCOQJciqc4z6mdn0InNZwXjDYZqQLAvwdklJ9WYePZtZ
lT87NmdAB7OCQ2djXd+qrA3Oc+ZxWonc8Gj6Cg8LRjWBz6LiDoZcTQdN16MUjUt0K22xd7DKs5KO
I2ZQHZg7yXmJ31NfWTtZ2BRELS9hTzCMgJvGOMfm2DMacYNAO12JYVposAm1G1FNvKwElhNx8H+d
UdhTMmjREkbrSKWVCYJnTk6tyHzrK6UqNhoLXb51iJWCiKL3ai0Rt8lY+uEBP2/qJQCnxPyu4wnZ
hMToEpHDYOkt9SAxMjqboWqJ0pnCcIBQ00nPiHDG21psIVw987JQBr2E8ZiSu43IOdwYeUL1cCJu
GrJ71hLiG5c4H+SQfJMtET+1hP0QzdhDFEgTeLPUqvKd8sTGXLD7k7t4CQyy8LiNlwih+EwTypFg
IbAWvbN89tDzEjsMlwDivEQRKzKJ/hJOnJeY4mTYI6InhogikPtgCTOOS6yRbgRQG7z93o3G34L2
CJ8KTKwHZYTTCfHcvKGhONn0EXHJeQlOGg0RSsIGcjc17bxWn9lKB24XDtPoWi7JyyBLp1vX5MGB
nt0mc1swJyiIqJ7C4fGvR8O/j6UeOXLBzpBgvWQ+/HUsjUOkCzrakmNa0M+0Mka6hTQBGujhHc5n
xyyZSDlLwbfrzH9XLfj3iLtnw0KwydNTC2oFf/nhuMjYwswqOYLj1t/nVJcw5fP4VmZB9vCvH+d/
wpqgb52ZZpl+pf9Xsk2CC8sb44IfpUAnAl7EU74qp6j6+Nc/Z/EK/mXOB6DgAym1bBPakfeXCHtW
TdAzMz86kpKadrHUztHrRnubl0l7Bzo9Cy59ELORn5ziXflL9eQwR/GtQRkGwzU7vXL7+Sv9TytD
N8l3TX3Pz/ZXLehT4vinUPT/kH6E3uPxNvivnZwYyKKkTH4xcv7+Rb+LR767NKDyfWwaIOVvWKrf
iVVS/MNbiDPwfVx38WTyQv9u5BTYP9mowlAxBR10lgmQ5A9NyfsH301IxnV8GjYgv/+OpuRbILh+
ebdRjOAL3+db8lssmZFfP76y96qqmiLrIOVUwg7uK7nW4BWwC071JRmYCMrw61RKigIJPsXPJg3V
a8cUFZvUiNtqhV0g0D2pZz+0wq1GBbuLp0hhLinzJyiCZQjvVx7x9j8RHx4pXurqd1Og9CTsUHT0
3GijfLFbb7xTxRDmLMsM/cNlM3yu4ii4kF9234H+5fN6tBv3XSha7LCpOcFL61XGB5oo0oFg4vlY
4CAMdUkDdxDW8lbjkZLRmJ455Su59/qwBHzjUPWBZMKWsmvRCNhOkWcnusIKeUZR2iqZLoBRFoZN
AWJ749tivFp6zDdUTMuveUbc+dy0veRpqTgLWeMQXTAfdGsueDiQADpWlMENWJes2nRWYZN9c4q5
PEdDwoZXzs7GBdX7ynBRbl0rpPnd9yiZDcXwYtvp9FCwJIyOIHOTPd0O6i5kEPb3Yxg7R2Zd4w18
YrLBEDA+x2T1NxkxD2a2ua/9F9Uk1JT43mjQkcCJAtU7Dc16FwYsYdb+7LT2LUvKud4Z8GaedC2d
90458QxkeFBvTuTIi8cg8zQOYnmWM4vnIkYweAoyRFNO9wN7haSl+SVnl6JWrfjMDVBycm2EQA/0
20ZhYQGIXWyl27NTkLTeskvQdckOteyqs6VzW2Am4I+5BfN5jVVCo06hGRTADIplDyGmzL+ocmQv
SK1asXbbInxJHZktHVoeedneQcLL42i22L25wYuk66hbl20YvFidASJWS0hkvDUd6wnBl4fxyfxl
SdPN+7ENxFHErfuuxrxuSPctoyErfAIpcC95nHCqz3ZEKGmdYmIEbbk8KXbNtprd1ZzHJyJh/AKD
VYOr9qOUZ5fUgXrLhwJvP7nSrCBxRFvLRo7YUjfSrzz7GvacRnZNG5rRsVV9Mq+iKm1/pGllUHVL
teHKYRVPoV1VM6rnadrWi5+gx3LnGUvuxJEl3x4PFX+Wc0sT/WxnPIN6WBTNmXAzO6rCOY5jTJxj
btireiwQ1o6heBAhefs7zjDe5fMn4tnMxh2alTgOOeU6q7q3eX5BSoQvgyZ6vxjOIh8hymYi1dpy
3gFQNnLtoHudPVOrt9rm+Laq3VEfoiR1nfso7YJtBpajOiaCbnNC3J0Q69pO+P6RIKSznwopL6S/
vS94Sifj5fO3RFbqImRW3CnsRFx+WVd5vMsMW1jXQGPPA2vcCNyg3sDrjCBWYwgdsILtqnx5SW1z
eX5oPDabazsF1ZnYW3WeNG5OZLgETVpCk/bgowCTzyqDN0RQ1MneH3KuUJgB9cEpTGvaJbXKf86z
yzsy9YzlPYVpqFpFriGLfdX1Q3X2LVzpmDGzcb0sZAYK3+z50Mze8GAOcrzr00m9UaoOGJwZwMII
TMGvhbsVi18ru3WlXDmtXNvgcN7YTbDtIOKI9YRP++qZfnhOgyl44cX0lhpUIjVpPLUYhRAO31rG
0XBHw9/4iNwi9mz2i93MimJt9pF73yVt8z018Nuvcm46LzmyyqP0WOaR7+WNbetB82B4Ai6e6Rg8
uiJjNJ0rt2zW7aBz/DVBif2Np6yfD2Pg+njFAv97rVKf2hNwA8t2dABeQs4HaZL2oyNNrTy/0xiH
L9r3uYLQ10HWxS6ItpFqoi+PU8rWaAV27prt1arQjsJzRkSTQSuGzcod4x7Oe/lAhdcS4MpyEtV+
FmNFhu6yMwY9fTh+IU6hbpND2kvrR4768iKjbvR3IGbxO2sv+RD1ODxRHDodVQHAdUrzcF0lxrNO
Df0S2w6wmjojl5AHMtlPFjt7POH5xRoJKOcgdvDkFCwlqZ2iFQZKxFpAAj0TrPQx+aX+5BBdCDnM
Z2lzbtmB11RtLob5WWc3aE4u1q8BIzhWZNuDQjj7Fzeqr9rTxYfrYhffcoTvgZ1P9XQq21GCcDce
rILZYGvSTchCRPaNdcmpR6rvwWjER5LVexDR427uRc8Am5H470rSnkYX3oGX4Woy+YDcDNU9WGX5
KqLBYiwLmjnaww8XF5WVpv0cKlG9YBzTj/ng3MVuXz/QL8TRMWqsh9Cy/Ees3fQzsgKQtzUswkPi
52rLVsl8jexhPDuhfJoj2/vSsb3eV6Nb6b07lFXA5wO/9aHX4/LBHw4YhVmZKvuuaaIKqJKK3W1O
qcwFChXwkrBuzfsmrqrtaOPKz5fiM1KhGhtt38ZqC4S/NDdxGA9Ey8ciJ1jSuSmEi64rDlOd593a
sIDg9KKu1nI02ye7zORbAt8TskiC5aJLnY50GjiJnlBmsx5E+nXk9n6mpay7Mkx/hU9U39COypDG
ekN5a78M20vjzemmZ5P3OAX0sk305t6TQ2h/9s6ov05BVNXvY2vm/X2CMhGdW8qMqOPIyrWq9as9
zeF9HFvhJvMy5HRpjZe+pfwzbzjS+J4+dY0wbrVuvW1ji2haTX7xkRPuvtQMiNvQnez7NIHjIRMv
pBQi9u4CFbjwbQc8+FSEIoGAP1VX+rPAl+HpLzdxZxr3Dkyvjc8EuOXp8mkpQNdR5OK+Jl2LRFCp
Z2Ax5onE50vLLXEbp7xPsQK9WXZEBDxtLsbkOq/o7GwJ/IzVuIVASco3jsFhOawAZNXddL4+yG4g
Q+CjE8Um1X2A+dXoXIa4ZdUHOHNtx47I8TzYHVTyybiy1rb3ZhJfCmz6GHGsL2Hq+Kso94qVtiuH
bUybYS7I842FzZFroXK28YiPNhJBOJP/pX2p9LiF70DCmuMK5624R/Tx7oBEtI+VxjcGNKCveDxx
C1dn3NH00N/AIHPJF0XPnllb55KmrY0lRrVmhqfqoi2KR6q5ehweHD92hD4TWlVJT2yVCRm5az0X
yk0T020xarHLhDk9mYCjz1MjzC/4dblAeVF1wxWoPyRgR4h9FuharUnpGtQO/mo76iyoeniI3SLv
11PZDFuykgnYH0yep85JO+rBPHOjQ0ow2lReqiyanhFpQzrMi+4l7uJXkj3h2nUtyYFi7KPnHljH
ym9GHFd1I4itFuNhNCN75QQoQl7n8Tq0Oh08kAUmRYAguTy9m7LY5ZNQtGgNI6APJ8H1es5jek5r
v8j3anAknl4eeK9G/Rimlb+jvSxMt9wOhwOJAFxHOTggGeJsGTXJ1JBSqZUG77Jhmdic2aw4AC7i
qTtDfyJRYtujoCg6GKHFjLEkKun2P9K6837KPB62SeaRhCaawHKIfrJDoINwmy9HKxi34Kx7QlKz
g/lpnRept0WdVFuAC0QkWfvcDIv7JJxyisL6egl2+FhM0qK/zo1U4pn7W3bTlrmIe5SWERtRC8Ol
ydzqoSvGyHvIsafORAECverblGNBOTjfMobxaBd4ZckHyFxwL56V3UbcZKM+Hy9l1jTbqcvITqWN
DO8bjgFLMRpRg3ISETUWfVltZpFyxnICaCJW9TCHUAFWgCB3ddZNF7dx3SubMlzvQV0bm65yuxNu
y/Y8sixng5GMd5bbNk/xUJww3ZyVnMcNea36tmgq2CZcLfd9W+uT1bvhXkfyhYPasPMbMti+du7T
Hl1t5fZZlu1wrdBeSEnMYO2SYJ6hg0NGSNdVXuKpLWxvfujAg3wbsyJnW0G7BNGLkg2cKDueEBHO
lwz4QfF96seGwsNpvsVgpJMtJYBuxzZCPeFwKzMiMVC9Q3tfIA0axxBTJuAW/4F9zhcl8jE+Yzj3
w4sozfd2WFrSXQ5yCfmIjjbpBJjUnE4ZHvw0xthtO675JSn4kx5WOivDu0o19Y7Y+kob+dpVw5c5
BgHiCC0j/y6yVQ3jaToSRCmM4fCnSf4/sTz8Te8x0Xgchnb4/SZz+l9lGA5LId7O6gA3YCnuTVKO
iZ2Vc3L/1z9o+Ua/+DqWHxR4DncEMp/2X/UeqTnM1+wRD3mcu+/MqUWxbcuasxovg/PeJJIxK6pG
zqMzF9y3/+5Pl4hnAWxsljECyOiv878yJss3J9BuOlX2kzcQhEbqmjhK5Br+m8FP9Vqf86AxsK79
N9qhRaXCXx77b4hK1oQ+idW/PnbCk0ZYhbo6NJbiu5Oi6JwbP6vtp5KKkWLjWHiuuaNNpBEjqkFJ
apcdM0AZ+fkhckbr6V8/G39zuZjClVDAl8yt5VBT8OuzEQVDN9nYNw6+RnYbBPKDm8T20zz5zY9A
W8m/IVa6fxMwTQdVEbizWAC29ifP8k+2mjzuJwptm+pQFjq4tDHzGt4w3gZGC8zPrrrvcQ5j9xr1
ssP7pz0RTuvGMuLiJnXTnNsdV/OtV4MZABvZW9cCJ7g6QQQPXvq4DbYEjXgnOXO52AgKr/lhRqYI
UHGcdn60PSPUVPJk+pB0rBpJ/LjvldsP7SO9O26zm1t2ms2a/Z9wvhIVJRUSUvFdsPByBQNexACa
cZt4Knyh3oZ8an4sRsSfcu7LRxFEjHFt3fDvPdtUbyahw/ESMRAbyw3TZKq2jPB+Npqu2VGqqpu9
jCp9mPiH+taplOXtdWx547axZPX2KYAUXm39xrj9//Lmv7PHCY71f/p8LAa8Xwqyrx/D/zp96OZj
+sUd99uX/SFwin/Qsge1zXGo3fsMlv+B5Ef7ZKYRbKpM3/zFI+dYNP5hZJO2y3jkwwX5p74p/8F1
wDdN/g+uO8jn/x19k2H4b1cYNnSuBJ0sbR+Q2l+4tCg21Ofh9DwEvcE5gFa0dotor7NzzHbrPJos
yB4jF3pJxUG1o6+ibO9jZfTFPsPhCRiIea2AZkUAyA87gYaCuctWI/gKkp7JPQtrE8txKVZRQIHo
PBrDNcosNlkkrMKn0S7dV6/s3wG2rTlLFE99HbqPbQaSt9HBE9X1uLFLfCKrystDZA+LFQ260XzT
DYs1TVJ6/dB4zOitas3XAEUOEcNI7IeyBPnSLOiLakH+f+52Bg/4Dtm48VqM0Egsw2K6m22DLLMR
/Gxs5BD2RIKlVF+wto/6lNAp/gfcbz0hsXkAeTM7cIg+n6hsxqWj/fgbr3+yNoyGrx6sHoYI20q5
xzAcVOu06I4z/u81cXi+sHGHxiZotripvSIogi99OtfRusylyTkJH5+3gDZcZL1DYRLQb4dGH3uj
46fTvQFiKmUL2yRUBQxJBSiIq5gmQpMk1OEODXUhOpVdsQEpbLx1nWArTzce9qZOWBctm8DcDy6o
1CnLMen3HMVeqflCGspGLASs9+DKS5UbP+d4WBpW6vCUxWP8w8ib8Youg0y8/H7N8lvxzgayn/Jf
uDEtL0ZJrzLqKoapnam7cg8nuCdlpWZgBDzJjcTmUM4LmchvoaVE0gLcz0CRZcPFo1o2PoQ5muLB
azB/7GLXx3IvZtCLuBHIApXAe0+zUx17jVCLb6zvdi20kFdlmNLbWWoCF8VbZYZmVfBeIKV3Srum
2fDTyadR4pVs6aVwH2mZy1+0IfLHWOnptVZxc+FYFzylUGN2RDe0t6mLWpxKt4vOYe3EX5CskIyo
NABcyYst8YCQ42sBOvXkENfpTI8Z5L+m3GOUwmHm1qQAibp7S+J2foPwxiHWaYJ9jrj7c/CI/mL6
Kgpqb8Q8xpvITpOMq7zZxtcsr/heQZernYcsOtgc6VjPggvWkJK2bZQ1DyAbYSDNQwaZMoNu25rh
TeEVCfSCaJB7qw2snc5j8QICLdsXEhIOh/Ylmza2CU2TmWU2j23lvLptToiHkyUkoCldhgaax1LS
bcDBsvymiMK55ZbqebtEgsB1fFut2VSy+g0l22p2m5p0SF7doQ8U9w0E6R3IUfxiicMgF5XBiqQD
XEDs30t2EDJx4MwnfDVZvspw2qyH3BXPowUTzy0mLAShJvY9jEO3oqyND4ZdJryphhBaaNuPW7tq
yXuZYTqvu6GhCIcm0ZsOV8XtKEV2Lo3BvaN3mlQoggn/0G9MNtkUjTLKGAHQpKBOus0wmv5rPxvJ
DeJO9H3SafqBsf+oJ176WS0mV08AFkutiszllAqvXJt8zftcB3zojVSTu42qon6sscen26G34m0X
9/AMIFPOzziVzO2c1vEVJq0+zaaqXjBgTXu79k0Mu/ieoCBECsZROc3WUjrQEhGJy4YYY4kngC4+
TLQdcs+m9zyoyqGq7kFVNV8CHj8ydggMEhWv+g/2zmNLbiPduq9yXwBagYAJYJo+yzsWqzjBKrEk
eG8CwNP/O1KteyWqu/X3vCdSN6ki0wCBz5yzjyKQYY0ZnyBxQSzqk/yZa5iQm7IynYFoR0TIiapt
pjigutktJC8+UmHWRQV6WNmV2TWNXr5sp47+W2SSjZXjN4Cew2k+JiKu4OyVH/Uq2n2XLvJcR626
q5fRekEfwOE/ymQ9hHqGXaaqYmjYw6/dA7g5vNQG7XThq0t/4lTqfSBAl5OFMWP0K/1nfgUWisAQ
wuBxtJq7qPE5tC44506Xwc63BMfqZCxXGwTPyISYgB7nmOOZJYp0uR2ghxPuxF+ECsgEuhiKWjHl
660WGsBSAlWzuuOxvdxhc6sXaFXrPwhWXWB715ca4L/l0t+WS77pX/71Nviu7obkf7YfHSTD6k87
YUm1w4/+XjJ5bHepcfDMechCLinJv++E3Z8cSe8hBLgcI6mgAfl9J8ziN8AVSHSIcORl8fu/O2Hn
J/5TG7sWDZygMHf+k5pJXVJl/tSR2q5E5U9bSk8qHGV2xn9oSlQ+IwAtCHVkFkz7ZYdGEr32cauh
NHTEag5TI2rYMirBwYvDyD1ziIX43FawaVupcc0cOPTLfF97ddyerKK2cbQ3U1WC/kyc/rNMveAG
Mpl7RrVi39Ve4Z7ZbNCqLDJr33HqOiY6jBWkzgp2DXlByVJidbwJAZu9V4x63huYu90enAWdo65g
6NoM+D+Qc9MFhYY3UlexDyG0lkFzlIVKun2fm4YHexobxTxLlwcCk8JXKgf+Ys1ZBRusD+any0Kx
TO35qcMDdo5ys9Nzmll1jISIUMBA0NUBpiy6QgiONvSIkubUTipriwSYcQHGW8hrWLFZVY0hb6MB
bYK+UcbdSdB+vlD7eh9KzvNDXVvjyZkS58tqdkeVQwfEnJHdF14h+y6WBhSPzoP1p0/45bZtU9oq
FWZQbJpw7T+zzuzWyEGWL+BuWTxFrZg2s9Pxn9Ei19fsk72PJebnYGvyAjxbm8k/3vAH4cQk0UcJ
OqaRbRNr4HDmXbs5f2eQ09MVmeC9h4XHmm/UwmGmi0W5SlRy5+RWdoO2zMarmGJ1j9Lp7NRhfq7g
Nhjlnvk8cSOa1etMX7rjuuZXfvtCmaPk2ONS1rVyNN/wtEAo5Cvt+zfCk5f5RiN/sXdzjpdxx1w0
Tx+tUvIWatxvKddSwj+DnrjZrVeMfC46s3iNCeuciDAS1/K2ylJxemyHkmC8hnQf8ZUnL2jyolwp
Fia9/ppEoxkqTFX4uhT6aVh777Cg1AfkTlLJK+VO9ohjhHoHL7e1BTDAZMLlAjQOEK7akgs9x6Ie
HfCH8CetkdmpKDJg2eGarfQgHKJGfWPTYS7N1YD2kW82dAaWaRRbDq5Am5lHoRSrXtSuXHyWBMIZ
TZJbT+lm+ERBQvInakkb2lvLTajCmS+4bgB0/WOpmWcN6rQKo2S6zUmkLknyMwtM0vZQVzdMn05w
opyzlU1s3gni4XWn68i+uSTaGR4GXAtgHCVXTGSP/ec8u/yVFQrhmAc318kSzs37aL6iwMGECEG3
eQ9s9hjboRXpMaSc3yOXY6c2TeG+ce3m3QThvF4u4dRSfL4569ja3OyZuUgjf5qf2OTykWgZLw8z
yviHcpX1tZtkCAUu+g4HSS63ZN2wQW4IQe52I6LK66Ly+eXLLUEJmR7xy/PhAcHgyxYcHKmdtu/A
R7pT6zWMUZiM2y8ukNxXKxMTNgKWBVTcbQx6uVPcnD5JkPtVshIsEk9PG52WvB2Rulg1CaratOQO
cj8IwQVmOdzkRFLx+URGWzDJgXctVk4QF53aWaGWYNVVhDdra4ZXQ7rwJzDLYFRSoEDHFq76xHnA
TcNq3er6hfM0XkMTl6JOcE4F9p+MuRNcxp2jE8BGc53zfp25Y9y79suY7KHMcIdR2vCC8PnMT6Ws
dfK09HNze9nApwurbYeg8SfyNdxzUOUIQkq74M+56APy3NAjB44MISL7ZfCakU+Q+cxTw4UOpgsX
xXvOkukUApc9wuWUL8rhmvdzo2AIkqxbn/sw9NzTPHJEOitveM6JZsBKI/miCqAjL5HAYnoV1wpr
hMN4OSFxMcNkLFjBj65EXAE3rDsVaWTmnJKjGWI41xSFNxc4kZx8rV3PVFTokDt8rtBgtONivwB8
0ui4O7AtbPpqrhe7Z9hVG72IpiNnA2LmRKkRrpSlzevJyiaO9lNorhwoBfVy5WYdf7yMo/6TdXh6
TBOPq9vIPFCFha9wG+zs2m3G7jQyIoXRbK55V7r8kBh4z1AKzPU/Kh8bTDqFr2xqFO9TmGNvQhgy
PE545mY05D3nW9cPwY5+xVyPoRFRNG0QvrKK4Iv87UjLejstd43SXErweLvxnAV9a6HKcHW3b+jl
H1yfu6socojfo+bjZcR+uNxx8KDdV81GGeNR63XJ4XKy1jXTMwTgQftqp1jVXzW49fyrR7RxuiU1
lBdqTzo9ukYJExY63GdjWz7aySi3qP4/q2QOz13TmIcBknEezhjcGp4Gq32nV4+DrKB+GLcBLbC9
mRM8Wcm9XJLlxPHjlHpnxyMlBNPrivLcr9fwmjQ71sxSRTOLuz4Ni8c1K37JREq3vkWADVO/ZBxZ
DfRKV/AFzYBxnDlruSex53LE1BtLS0KoHRb+n3VVvtax3V2F0TwKOMmBRmFGPu2LRHMG25JPtzdC
NLb5DbygMXiwgbNG3LtI1rqWdgYS13DnGUEbbtUYNh4it1S16N2Qrn1ryY23ZN3e9EYU1w0KWDku
KSjVvy0dBvYPfQK6GsJvV0YPwiwownD4WpGljeYGoRXDk4fGnTYZm43osuNY/KKxeE7U+PLOtl2X
nKqEwTquT2/miFHuGtEw4vDlCvmrp9vD/eVm26aW5ckmV43Ad7eBbuXmrCcBv2I+xv8oRpziHvhD
8DZKLwDaqwa7++JDxoBHbqUdnPiROHYwPOH14LjrfTAP6qrPQh5zKZkQ6Wyhgiu1/cW1J0wPaJvv
0zUPrpSMuHrJGsIQGdT7OMgaWqlmlpssV+M1cBFxC0xbOJve8uaPwq2zL+y3v7gZhBQ4vr372Oaw
zKyh1+iHoN4eAvQMv/ZLF/5MfA1ROBo5/cpFtm9BO+0CGlWwTVl4EmbLt8wDFKCgmQEAulm+GZ0+
uw26JAP5CgriMxuC6rCOGnh9kYp9nOovoUE25lgCjyrS31Aemh2O+hm9+sJWdql2NmCXg5Oj7ACa
0j32aB0ofyp/783l/D0b5YsFZxGFQN/fBmkCw3qFKFursTzU8FKOUTghUQtT6ORt/9KGI2qSzqcy
2vdlW5OvEnFEAVDZQohs9jF1wxWRU/aVRPB48sK6P+fh6N7UDgYSPrSKcURLY4ggE7d4G+wtgEOw
D3wL5l2ZP7gtyR9Undaa2/c8BBZKPtABALn9cwHt5zGGZ+JUTnWSVt8dA/OEcBbQd3MMJQ7zLtr5
dLHe+wgLZdZ04e2aGb0QfDvckeIJbDtbaPaqX+QsrRuCeAvoQIHi51ge+j8PxAZSl0i5Xg1z1aJl
H+q3zIjOUdaVJBJnpcxfZBcFENUd605gTd3y5FX4bdwD3OzlkNV5edZs2z6svHwje4QRiQ0Dis68
69ncc9mgitACVtYwHkWUJ1svyNHYFGm8W3FZAIdMhvNUeZ9NErt7iTt1azeiMKeVfV6yzvmIOtz8
u6ju5zcq4j3VdUclmIpqt+Qi3w8t7oSo5UTh5O/KfVrbTDRSqU6in50jSLZl18sFlB2SOH2TjJay
N40zZiFZYH7Q8dkNnniCg1XY2C2KbjGx14wqntLInk1+Q+kWJ7X2U/zJ4R8fUFu0uzWwGxhCE2Sg
OInWDie0Ex0HPyG0AYO9fwowLL5aeS8DHnuR9Bk72cmuawY6kKTdIx+pb6FCp7vUGfQrHKPivOL3
Rd645Id1HVZmM4L/m6n04MtCfNHxHHCJO2XtWlepZwo/DtKSAGowsfFN3JZ3jI/6rwYheF12wa2f
I5Xh4RU9l6gE38DN+d0GQFY0XOVtuwAX85tRnMucmd+V1dqrBD3oEJtM7vjY6n1mW1ROUHOc6D4a
Qk01a/SXs5fWwXvUFhzqUZbpZuH4XrBaMujuVueoUCKu3lYWEDvJVLEEeVaxJ0ZynWCGtwfD6fSh
egVOfGBG5pXXrej49Rz3MqZ3r0SlOHUy7PbeSA2adAnVVqV7ChF/gncNVLwplithrzOCJ8Sr1KLF
tmwxheNkpD77Q8f/T7bGzo96aqyzrI29EN0+E72/RFKqSeBVIqLh1PgxD8yY2ZCxraEKUzOHtNNX
zw38FBecPk9RjMZ1n19NrpyeRnfCvZ5MOnwVgindxr08pu2Bqvqy5YvdlWoijdELFhFmIxSutJ5V
KIpuR04czVuuuhmcCnOKz99q5LTU89OIRJTPZGlmlBtGqMdAfn4wj5WPtMJNUCGcyMljUQ0F2b//
OORf1i+2r9i7+ATKMtEIf9yiJ7bFMnlS1tFJPL4SWa9VchWMpvKqZl4912F4A/9xsp4ruRqJd5nw
shb8/88zCs7qOXYwk2+9FQEAMmf+Jx8W/0RUu8TgWKlwHWk2wxpyznwz6jFOT3VMQ75NQWbF+xi6
12ldSv52T6IT2fn5MoHqoj75/Pdv9q/ODdsDzuCZTbYQuMOMs+MPc5MpjFPLsYICnOHEWiVc5rEH
B0vUHEij0OMtI0rc+3PffgBuW57agQlDm9CBg+3unsqq/ZuP/y/qfnM1CsdF3e8qMM2XV/yHV2R5
rbWOPO3ZmRhku2/589PAIOm1ZzDDh2CZphW5Tv/psqA/NxNdQaWhuh5tXFrAh/vGdE60I//+o/qL
5gFMPfMvyZxJKqZNP+zZR9S/aTOk2SmqYf/sypqV1NfVXcf+zV1W1OluGVK015VXsIWAyPl3i/d/
8l0htrBBqbgK0YUjjfzjD5+MTny7XuUQn7w5JHcsqvoYTX1oR/LOxmEV05NFzREJc4LQr4nWirFt
H93F1WC/BGK079wajebfnB7/5GNhX+p4gu7WdxEu/flFVc4YMY1341Nl0SFhs0VbPqfQdGlcogIW
gqRBGEHrJztriv9OCsJq9Qc1Bp+HExCIFbCO58P5YVdaEdWLP3blM1kKJgaZ3S64sfs2KDO+kGTx
QHo6OnBechVZZ9t0qZWLxxzUQNvIe9dfmElvRD4QqjKYQVPTxlVGzohHq1851COXq+i/k+i/m0Rz
2/Dd/OtJ9D2W3j+t7H/7gd+BNuInj29aCPbynpkWM5r+v/lzYCsiqrkpsHm4hjv/O1ze/omJsOTq
sJXPvxgy/+/8OfiJabHgjEe+xI8THP4D1+bfcW7sHzUxmHRslAEeZiU2yEzB/3wXoC2PIbt4iBbB
o0ZEra85GA9yEzyTyOAsHisi9uPAReh50O8Sg8lS5j3sxfzFqxgMu37WfxVIf7/GM7uoP3yS/+QJ
/+M9yquTgrfPC2Ss7/94pIasAyNbh+45m9z6wwNE89CKpDKoak7YNi2WY9gIGFSkIrl/cz5wMP1w
i2I8RczgUmMIFfiX/cAfjy0sfozGx7Q9R3H0VrYR8wc9puFtHrI12vmNp25wFVZA5xdfXc9uCHOe
+fC3ea3WTzXCoNw16+JcxQVI19wfC+C+3ZjviXbzH1USkAcKF8MjGqYcbuzGaQ6uaGCnwv3cICoM
7a079eV9IhfRbJU92VsRUB2iClBqN47Eim6CMbHajTP4M4WGL99jhk+wsDIgXX2Ad6J31z0rlPGJ
XWBFJ+VWDNUGJ8gPcQtkbhtGCc196hqlbWehDVQvI4gB4gbXlqeV8psKvCQno5WYirOrnem0UP9s
c2t1Nhmdw4JQTk+A9iNw3U0CSqaU8/JWgSLwNlZPrIqns2jnd8vwNUDE329SwR5yI+zEoEQgJ1PZ
5ssBubx/nENW65YrNTEhvmyfTJv3KHpAh7ssbgXcQ2I84aKLbhcwLtnr0enSw+TMODywkvtPc4QF
bYNR2y9QtSbDiz3WCSAspcezIeaAMZPV8DSzaE5IhtHkQKa+LQ6MraKAyM2BMfzG85n/7N14NXzJ
jkFHHKeS8Deq9w2jOGijDcC+kzdJCZEB5/xGe96bypZgDyGhesirbj6wwZHU9B6VomsCEjCJz/ZB
ZOC9u4Gt8sLQ7sgYNP5sEzkdcpGilZ6mHXdqCMFVlU+rXCaEKPWYXa0ZcZeBN6iPRA3NCfT7ug+L
ZjgtaUcELbBHMrmwqVC9M8Ai2nYi2/GIVsO+jqwA8kBgR68k2tFF6MQ44ZWX/OJqMd3bUHC9TVoh
j6e0NDzLtSVozSOJD8YGa4zNMq2es/EV/Ood995zEluZcwfWb/TIyIxKXz+DhU5nHE2K8MQteZQo
ULI5quxN0Az5Z5VRCRMM3WX4hmr9yTgUf86UJyVL2KZqmGb0LaE0H1Na4G0IK4rO+76Hq7WOq3Mu
hJNNb/6Me/5m8WT9sVoOzIcoHOeOu6K1hu9VNGYYBsOBtDYfGUK6H6AzWvs6Coj+WewKGZ9Qg70f
J571z4uD7feENgEHnRUZj1dddWW868Ykbr6ZFEh2YFaFBIWlQcUcR+dkNTEI4lEwVDddgrVw1zLE
+uhrCjlTvXGpz6I+M3fPn2zFoRnPzOeA16XVPeGMME3GugUcKEP+ts68tyVBmdRFq62ZwfSRaUbc
/uuQ+pmLznfi1c+xWk9tjWonrTVSxcir3/Uk6VtCb2LUQBqNE+wRJBgZvZjHnwUQRwEFufOAIUXM
+7eNbOoPhrok8DBXZK9ujvKQd85kh5nLHi085yj6x+luTuX6WiAsBmCRa4fkDUyQYBgJD3Vde/nw
CGgTzVUAZpV/EfoculxHULTcbFPbq57eqhiGMiYyy6s+xmUouXS6FcF6t/p3bW/ziulRa+ugR4rR
jWt1BA0EsrhnBzTNBjQJvLa3s5kxSUyBU5P0tSGOqLjvvIKoB/aLWC+IpZjOIEMGySYJsPBNacGe
4EhcNddu2bAdBaw2ke3QAY5cHS8ad1XfqW/MAwCp8uHk4bYgJ5F03sBfxIbZTtBtklbp99q2apJ9
lxCuj48lKkJPCy8CO3iu+/rn3h6+IObyyfUJM8+IYvTj6BeYMCzg3dMxYPTrbuwghR8l6xB1i5dF
Bxt5y23imCxfy1qqmwQk8ItkzOqzuhq9795UwV2aQBMeap3vM1lb67awvfnGxZZ1TZ5UAo9w7Yy4
k0HE3AaNtw9wBlw7VgFFihGR2nABoZ/gOYNF0QmXnRtCL4YLVyq59b2edAwWszA6l0FVy7HSzsLp
N/lZt+McJ5ox9tzDHHHg96XTf/1v4XjBKv5N4YgNXVDP/OvC8esv/fA//9TV/ttP/q5gUD8pnOem
FrSpgi5lyO8VpPzJZ9lHGq19qR8l1d3vFaT4yYesT+GiQNkEDAb+r4JUP6HQ9Oma/VC4Emz6f1JB
+sGPJSTVK2UoPSa1LD3NpdP5Q3cXLy6uzixOzn3JdLoOKh4X5Gb114TFuNCmjX85Z+3/hJQar2+M
jCidwVAbw0uedBZ2LFKBeCqG3TMPKouFbRG+psypj0yN4o1z8dBggmsP48VZMxuTDZm4Cv5+NkbG
X+LiwwmxzaNdzD1/N4VLTsYYlp02cq8qBn7ULkvcId0K4i921TMSm7wu2oZ+xvRNv9oXL5Ab9dAT
h2nd8pYwp06W2A3GPRQbH9FwsRTNxl00RBZGo9WK2ieP5R8GaVRXu04oPEm19ZhGTdbvINfqU4dz
7nbVS7WZe/xMq3E2ZcbjFDWLc8CEmjxwogMNC1fzzrHe9ntZ+swejVsKzCX+pwTF1HOceN5BOviq
sp7fZklmX4d2+qXGkLaJA3xYgbsw58eqY7Wi3sUcttzPqTs857hJH6Lahmh2MXZxsGLyQnPF2KsI
rJX4lyjcBOze99I4w3ycfztecw53FlObWxM8IS2ShqLZ+TrmJJTb2MyU8ZvZY3IfI0AfdhSpbrFT
U4K+EPYz4aXx6t4MGLhYClX+sAnYMG6icjiFrM6+uP2CHahJV3tvAezmcbQ4+NR6BLyh9sabNZCn
IRPvqfHPjcZJl0fDa1QRDcrz+cuSLyBnAPx963S2XNkJ5iD0fsnOy0mPsQdvB50mfiI/1Klw7NTF
LSP69g7SIca+EF2q2qB28+/jsfcfcseKYD6q6T3qIvm4tIQoe7E/30A7+WW42AeR1flQy9KYOKys
v5pDBoKZzwogwHlYGA9iYWMkHCsk9rYzvMUQD7HRq/ycXOyL+mJlnC+2xg6w1Teh2/FXUqnsR0yb
ZHvGrfOc+2QS8vQc8S+BUgNNXPKR6absbpkSf9NoH+7gF1p7qcUvblV+U1rX/RacdHuejA+zMI5M
9k9QhstuCUgeTcaX1YLsmE1RsffbCEPnejF3iovRk7StqkARrfU3zP21QEY9ps2+t9p+3uTGLbry
Le89xUIorfpJPE7GV5obh2nTArsgt2UBKIkBFR3w+9qH70h1Nx2uB+AUoqSa89OGvEdyFrojdCYc
isbWysb1hZHPL0KOANAzY37tjA3WKxiK3ScFpQUSJ9zxiS9PMWfOE38C7YjTJ3cwia6Zq+gz+Wdl
j5DbJbt3jHstb/uLETeIWN5vx655Ly9G3c54djvRHzLj4p2Mn7czzl6qazy+xu07YvvFVZec84sV
WFKWl6eRpIUQF9ySXWNKzPJ92iMR3FDmeZCNnGivnDo5JwQy7NvGyHOVZe1stgVf3a5cPIIPiWtT
1ike+uQIBY25ly+tgxexKwzFog8VMH68hkX+NkNg2JVZq6+DVB3caiBhBj0O7rDezTfsirxHREPE
mvk5bAJNnEIw5e42Q1V8leXOuqsxlBypH9EP22V8C9edyf6YresLZifv7EFcuMW9a7GTxsZaXFOT
xLuy6Jk4pXFNDK/llIesuQYM+iYxlu3qrpfneY3Wvcd/dQ2Au74lSZZ2wIMX1wGBb6XYeYY8ds59
ZM70B+2jE3bOC5o6qnAfpmbiwcfcLvTAxwjrkWK1lOfvwKQR485KX3sueVQcEFA+iF5IUHLPDMbD
7iA9nw33Ot0Va7z8OibM/pJJKTTcMWpdlTYjtWn/3Y38duezXiVtwDcFnRTjOSJAelvjc7pJi/Eb
DxYUxENB6s3awqYys/wVcb/W/rYs0+E7mh2nQE2j+hvSV8PDFNvPMeylk2OV4joVqtl2VZAdC2Vh
TFhRi6EE2tg8YPeVqkkXrazpJLtKnMWibLqSPDn72p33EGXEtT/Q6fLEDg59IyR1nB1ek1dKkoMs
iGhaFxbOMdS4JqREi7r01zFdRrOWC/C+N5y9GACKXejI9tyGdrluMvCnO5h4D50NzLWeySj3uEVv
kyZOge6xjs/Zdm+XNQ93nkztK8Q6ERV3ez2XZbsX69x/YiafSRxuWCPRb90MjoOWanSTc7eGPwfh
UJ5jr/tsw3jcj7n+uSzdcS/she5p5HFjd8k56Pr4NGrwBWUU3BF4/zT0QP+ckmTzYJy8R41uDeZ2
fxcv2dMoeutRJ9nDzOd6Fc0eVDJR3MWKGNzZzyGT0dt5oOun3j94KxZLFx0NSKtpHLYMH5YvzO+Z
eox8rk8tzYFPPzws7F7YItd7vA12t5HpTOeOAmxhsYz8CME0kVSr2CdR2KzPZSpC6w2zxLwArlXB
uku93lAc8kqRnpADvHf3dIj2cmq89Nm7dLvrpfPt88K9m3I4KltQMc5GZmzRGF9AGVguzbMY1/Ye
Gp+VMBfo1q9OM85fiQeZr5RpwAnm6I/tYmm68lLN/hajy3Ql/Fxz9BdQkGe8Y6fFtPR2yYlJRpL/
sZiGH0oRoVAk7zhsUxgIBIjIrkoBU53B1V6pUB/Y5jBAkKN17M1QoV+C9qDJOzs4l5lDCU5wk7cO
H1C+sM9Cfx2/ukvU7FRWIhlv8p6io3TcU3qZa4jVGzcaigZadWLVNFi1xoGcP5bJfpBdYxNZt4xh
sOHJJQ4eW0vyt5YE7HCvRpAoOaqjhdQ0FshBP43ni02ZkBfrbF1GMiISY75hiRLe2x4wVNhya5se
8DegJwrCFdGJM/o7CJ7ivUdcwc4uE9ljkHTtE7oJxkKhD6y1ZtBKHFdEElwg/BOkOkZJbY4uAvhp
p1gSm2lTEYbhLjITqPIyjCJHbXlbGXYd/N47OgOUbKKUzQQLVzIzjzyFYGoGXGyWmHVZaR/vndkq
79zFR5pHBdSyzETGe3bNwCwyozM09xGpX6OZqDWX6VqfD2KbdsPwxuG97h0+pGuUUT+7irXfojxR
bvhG6QaLHCvoJgRztCdWFoxjN8JRHQYshVvXT8p7gJPY/P08GfekKdw2nm4QxjMq1GZoiDSE+WGF
hPmxv0wVSakySUV+t6czd9j7mfljAXDxk6FY8i2k5v7CgEhdR27CzNJsCtHZUJrtiDCLw9tSeMis
FvU2mB5wMd2gb/rCwnSIcvbEuQO7AMo/y/x3B42N3iIMxsyIpplniQxvi2xZfpFWBBGjJeGR8zS9
SrVl7xd0AG/TRJjnFhmZig4sKpNgNwjw4/FQoj2pBucJH7ez93xdIdFSOZmmaXhE0z8iEZmm61VN
mgyMWD/1Kie7r9LYwz0SbmrEFh8LO+aWrrsmPyqt8ck0doPZUk4DkTQzah8wm3vLT4idm4T6lJWc
b8A3rXdBuzbPDRNVb8t5nv2KZrJ/CStRvMUEdcaQFbLwCmYXQcKqIECmidqD4noFHRz7j8466K3G
jnGWxtBg4ThAY+E2+6VSNrW/QN/CBAIdC6RkjuayOmjmxkdk1gCxBZCFBiXYCztA52CJbj80bXaf
xrArM2Oyz9haXXNITOyhIC7UaiLKAl3VrZN3Kfk+WPVzY9pfLv793Fj5a2Pqzy/2/pQapWCtTwGF
+T+5cACInAcJYOAA08Aozr8QAxoDD2CYCUdAG6TAf/v//5/+n31ryEbhX/f/93nxQdn2Z/PCbz/0
j9Y/dH/CasC1B3cpNI5PtjP/aP2R+v0khE8DqKSQmNn5rd/NC8r8DktoFhdmIvA7zA4Enu1Bv/N5
Zebn/qPFEXrKP29H4OQ5KpSsj3gFiOjZQ/1pqdtNeVDNvt1euYM17xwS2gZELgcHkcijxx6gPnth
bAFUhYzg7fPOH8nvGzzidll5MRLA7t6guCtLMsePFiEA3ctI43kdEACZPQyAPr/hIVLv3upXV4kd
k2yrM7kLLXbVyKDT8koysjpQQEy7YcoqqHCthVshaWpmvmOzHsvFJo0GE2G8JpL4SPSv4fuULuTO
BYJ2AmHEwrmkZ4SKi/QUii/6WiZwg7t3/KmqtpiqA+bSg5W8jZg0SrjgoEMOTQ987gZpUjLEB4t7
zDUmtpTyldTdwNF3kJ79QB0COHrNHY4k3m4yM4XE0rRkbnSCOQqEZ09alrBKfIGuFxSbVkZkBO3y
ER3lXSBJcdCbqODz5DG1lCMin8gLBaTXaaLStJPIFt81xCRwsHmSelSaqIo89E5VVhO6V44kkC0b
f6QF3lSBhEo1A1JGW50EK+DuHVBjd91SvccopXCPyUTBHckgymefyOmW3su3A9hlD2NnnbobJUFL
HWU+R90d3lLrLIioexAZxBSYvWQtTC7ncp9U58SypmPsNfKZWoa6gPiadTPZlX60C0B9ftgsH6qh
pQISBKUoXxJMlag3p6DMb+DHQKrq3ZL0NYRpeTUBHm+r2odVUoznYJq3pDnkh7KEAoKNIr5nREaq
ZFLMO9+N8507MIDKYMYACSPtoCt1+TWqrKHZ5BFhSqs1NfdF5n8hxyh+dJATPpBYpB4LiPbvCd5G
oPM2WNUmmR+5Hmo0v3XKZHyOHgpZL19zDMtyq0diUyOUmjuyg9RdGObRa9LMzmlOfOveQk0wbJAe
0lCozrmJoCgeLawU685WXb68okeGWQyW7Uvr29UzuvTc3iArihFOZq0zbxHgqnlbo884Vx3jQXLt
iWYcgYefNQu6oy7y+NVpauc6XBXKKpvy4AUFRk810xASvRvzrvjV1i6LMEet6FDRBVd7Qn3WDcw9
74F9rjp32nvJWgXQZwQq4zqzurExV8TMydeCpI5unO5xschre4Za4bp0boYi52Al7LtHNnbVa0eU
z3GKVPOzlslXu+2m7VAEwRXfNEiwhiDDhZbpdsWf8wjjI7kiBKx7ifGpvo3oscma07P8ntWduLbW
ilF+2zrqShdzeHCz5pcpbKOT7fFwTWb0Djl5R89hHoxvpBUUXxcWLF8dPaTe1muD/GtrVSEJXdxh
vjV0R3RDck/e3HBIG/9a10QnYd4ujkgXl/sqrLwrPRPlhVwLT8eGn7XubYyz5DKubFBZC6cPVZTN
Vwh12TXVce5wFaPpSrxgpnMerH4HTmTZ13pstjrC6srnMmwUT1mSYMW28Xp9VYuw2rFIl6+uspx7
JmJf0rV7zhpLfQL2ooIR4SSQhGmooVvZrNmL6jL3usQHcSMGRiFs2KOdSuNz6PbqdtFdy60x9s8r
+RDQLUX93R8FuWB6rR8c+JU/t6iKWsj+xOWGpW6u4yx2v8QJgbZ+i8nRpKKQU7WG8a0r7fF9IE2q
qpFj470iqi+3bUCMc3fFKCj+6J0k/aUgRHbbT+0N8xptarR5R7vuvEk2e3TKCiXlrPVyI2cTpUH4
FduKQVrccW4i7sA2WoeO7QqaSQjxj/DcTOTrYKOtM3LzqU9xxGACEvT5pc7mk0yG+anWRoGWx9p5
noYo+DnXJTq8MR0xAgRGP08Fvjy5VoSSFpXqx4hPDBAhjl/2HMbNNho/UGxXBDux7qV10dDYL2xJ
YHT9nUKqu2yo3ZHOO4hLGZYmZ9z9qGubBYebZcv6Dt4URmpiObaDmL8TRlo92dpfzrEVgTtNegSU
WdTj0W8gx7XufGMNxh0eNMF3t+68X2vL/UybVt7YauqhKLUs7Ysw27eIxLjJrfxWA226DZ08v0kE
ocYs1b8nQrb4YFjhwPD4UovumUQrsQ3ovQHEs0FMcbofUvYFAL/W8LG1u5rqVibO1sVLf4otslrz
KSbqLI12XdXZX0kUco8ZbfaB+/17tlbBUyv/H3tntl0pkibdJyIX83B7gDNplkLjDUshhZjBAQcc
nr43quHPzP47u6qv66pWRVXEmcBxt89s2zCHGYOiH6lHZtjIenGei7KO+z5xqisKWpgMDQ2Ar0ZP
j9pMcfbOrWmwsHHR33Hl1lGjB/Ntjgfys1PYSUE1GBXbHhhXqYvwzjtcInMWpAMdwbS4Kp36tk40
elPNpT0ZjeQIjpMk4iSfX2q0ltAT1LQHOaoxsqHjvZpw3KPKb4GAeeWbHIyfRQcXBXV4vaSjOx13
7jBnt7bf1btmaAGo1wjQi6WGL8OaynhE0HwodNeJJ5tcR5tyTrNJUERWryUP+WQMGwNSHubA6ngX
eX8zpYVl0O4SQBa0zRrff59ppxnbfU7XrdNQxI7Q/Qb6cNynRKM/a9/jhLPSDcOy95b51a+eSoGT
xVyS+EJZRkREPB7dXrBbHMc9TrlELMJeGZG5NPckmozLVWjFR1D4Dmtnph2gH2jk1ZPqrpAVvRVU
NO2FLLrTyIYkHoF9HS27HfaeYuelzZQalGY2XeR1SxyvUliypYEYqePsDpVAO7e8ofmQzpxT9048
Y0wpvF0y9zgD9gtz52q1Z3Fs7JqzuQjMfWs4H50u7sbRZ+uQU2FoF+uBJZr5jaW9GDklnVnm5nsw
quwwKo45pd5ee6K/87am4aE7rHM97vS6nDfPwL2vSeAJ7Zrum17Qgg3lZOfmDSmuLDsPa5XuE7u6
smpNuw8GSmEqdwyOVMigI1j1HRn4W4zb2V7W9ECvMFpDt1qAgYwGEMKyQvug5EWuools1ExK4Ebj
0EyAx1LNs240ahmRkzXvh7TN/Eh7HaERx/gFFR/KwlLUuxxPPQoSB7MJGzzPA2u8m00j+MjrBT+4
xuVH18XRVVMDl5/2zkDSNDQ5I46cQIwnBU/oWDSptkvz1T/XcrmrcufNTrzH/5yl/qWzFCeZvzxL
3f5qmmGhVOVPgHCU4u0v/mOUav/mBsSs0Rm9jVHj/86Mt/n0AnRbcj6b326zmv1jlGr+xh+5Ph6+
vx/D/t+ZKvgNDzKnKcM3LIKdnML+DTOe6W6mz9+HwX1vI/vQGWPaDFPBhP3xTFWhvKy10Jej4zXl
EqGI4Hxyqtm6RpVvgy2KCOQS4bqvUbXdLtiZQ9+fWNHwMK0ds7AQhBXlwd0gKyfKQJBpO7gXI+aY
D8FT9Gbe8A8cjPQINKFivlP78CEgytFoZSwwBt3KZCtkMauNvXUhoMQznl0UyYj1sD0R2fAt/XnZ
YBQMhXXujnV9TEyNcJdN7DvuvwkWnHu7B0LHcC30b8aFoTbcxTf5ovymYLTfRAyWmzKqR8XoLGug
oK75Lyg66ce8AtNQ/J0XZ2mLkVMfsI3sm7thfDM48IWD+hw3NEe7QTrwFVcX0wbuyNtMXk0zMA9j
w3okOkvLrpXAPrCfQeuDHz3xXAMGojYsCNA1knWcQtkriQQ2xAYQ8Xu+ZkPziMzAo9C3GizaRTbo
iLnhR8yAbx4R0DjTx1Lfyg1Tgm5X31Hy1t4WG8Qk++aZsK9rzpyfGdpuuJNyzqigwvKIru3XV2hE
qR4vHhMdCHxs/MLG0Z8x98nLEZbK4KTywRiofD1gg4S1YpIQBnK4IViafrSeGB2Z+wLt8UDesoDV
QgfPFVbpPFosnQNgS3Wh40zDvee2fhG7buKcLW3WvwbNbWK7Nu696bZm5hwNs03rVqrf2mj8LSqo
aV2zRRpft9PAI8lPdTMNhRMGtRtrgy9Dpy41/Ct0XViNqs74ypPLQBTNncOO9aq0zeeco0dEcKSM
oIgstOekycMyOl3sak59nHW6PFoDimhZFPcosZBkqeSIErLQJ4w+8KDwNtX2zA5lZJqdrC1+omBq
k2NBncdmBCi/GNx/GEmg7VubmDjsosq45yJn6q1UdxpWo96RlIWjDFI4KrGlR27j3LVcbSFVkhct
0u2u9juX2e/wskJJoBydfusM3+3OWRgBzkPmIO6m5NJGIz9XxOBfcJKnJ0FDy70DkvJqIZ5y9oiO
RoWWLXFvqImwZ09gf+q4brhsZwjizD0Fhq/d2GR5VOg2x3Ocpfh48PncL7N0dlOaU/p0cO2afoBH
P6lUTiGUMW92RGO13TEq5izN/PsZgqsrwkWjg/nBNEtnfkBi1h175xD6M54Mm2sBvnGRX7gYEu6I
hCbZs7JX9P4RTwEFK0GL6asiyM3rT/l14C8mJl8BGKWilnwK+8QC32Abrea8qMBqitPcbgH5CmWA
T0Oi2G4OPVmv6WHKc3sGsPVtBky/nYEMS6fitSwh9jbR+rcBS7YNWxZBsW40fc9guMzS9LU28nRr
QDfor6FRquby/J7cqGU1GOMY3zMdf17oWKyKxvfjrrZkmR4X6duvEF5n+eGVAb2Lr3xHAR6PapTt
GY+exXm3SUpp8R9uUp4KhrZIUZk+yuRHU47uEuod/urQlD1HeOLTKv7Pk/pfeVJbRBnQHP9n1fPH
L/U+/N4v//e/8Q/J0/rN0Te2Cv0ynud90+r+KXm6eJpM0Ksb62x7fP/zEW25v9mBy/9ElsPePE1E
o/4ue5rOb4Q8KASB8+J7foDL/t94RBu47P/4jIZO4pChCVC7jE1lNakL+b0rnCm6NnVtq59mDL7P
kwZjeaiWD5+RLhXSGkKFxphM1W15783+Fake3KtT0T3gDHogTzecxwVOWedTPGW3o3ZaEstNDlNb
ZLdj02nvo+e1zLlalHvbTzyECIfKqNuGUKd1Z9t5adZoFZXhnRh8+uY1BCy9fRwI2FLxp5Vrax1o
qWJtQggiP82Qc6ZWfYdOKmsKMhLwcaQYU8xKSAZ93z1WPglwAnNAA4xzFijX/NYiZexlOpVf2DFM
cZY23aYkkOF/6/qOwTMUh7wuVuPMGBxtAzZxh3LSGi2HGJvqkQOMwMU58TyhvZvxY05TdbJoGrep
4ZVTF2XEot4BvfqfKfM1oDfmQFor7ilPn0ghEsDUITeBSo0kb2E4lKo1L+D1rANJ1yC7SAoDbXeW
2G33E8bqKV6p//Mjvy1oiwPeqijxqXdVY8ljoSk/nnXfeV0mlkoCjtkxH/KHlAk4P9ZYXEH4bo+F
OT8VLfpjgda8w/+RHss5xcLdgRZ+ZoIGiGKhtdDz1VVr9xcZMuDzkNZNiPBzazFNIfs3BQC4UvdD
qmRmqDfjeHAGAAZBWCrrlKrySU2SdtLAKM4+RdNp3vaxRZXVw8rQbgcIhN5uvlLgFy1+CDEfBo99
g282B+T4+2nNn9ikfQFGkhfr0M67oKTWFgcrkq98ZQB0rqe2OZYSlzIhyEitlLYPrL4XQuhw3Lr1
NktBxZVm+bRheKKx11oGSdMvjmQu3Lc1uZ0D9FZO5kyHR9IIgwVpHSTzwZ7sb2fGjclWLpomxNgU
qQW/HDbVZKz6K1/OZuyB+T2hpuf7Rq301GtpFq5km34i3kyHenLyn37WIaz1yxKLztHuU6anCNfp
L+zj7Y2jyQdH5uqhwc1x0AXP/iYX+bEpN8ZQTgsvFm5mbRD19hKm8Il1Idv3RFP3ae3AYc+04DC5
86/WIQQN6ZUdBGvHjp0wlReJyn+2HKDDyaG2gOwU7RTbVJ1gXI1XTW6eCg0yuD5VMbugfOeb6ofh
NPqur8onkDenFQLfrh5Et3Ok9kyPpE7lqCrOWedg8hZ2/rVhMN/G1QsLQxLbn/HxoJ+5No2WenlZ
T+V44bqSO37s/Y7pyaoxenQBW05wqZxdi3sEQ3oxYRFZaqUdzVIf7xcAEt5DZZfilqKuml5cPCPX
wjfdvdXmfpx45CtCoxqLHwNOSSQrg2IC6OvmuRnTnr4XS/JqXFhIqRR9foxVR2tGMk23xVxSaTpx
WaTBVOHcV2r57ASLapzi9Dvj2SbrLmcqCw+SS0ttdDhdhR3vdkuczPLLAJeDoQm23N5V45h9LcUA
zMefg44MhE4R87XpOwODfa4Wc5dRhLM3Jlw2WRPUBwYnAjVKwyFmct7uyvnkLYV7APHCKqHAFrZ6
ynndmkboUCsgIdFZMWon9aFpAkTFX18U/tQn7EE05xbaO7fUs7nmGHCqso3rTp6l1tnXhU6vLOC6
Arpf/km9bx/lpsif6r5AcGM6m1+Z/YINsiZ9ELGJNG67OnlEOC05+IN1vhR21Z6NgFmXZ02XEzLp
vW0F2kOJPPtu1k4epWXQYbQLoJeOKUWUEAhNM05ApuzpnqedNaESWiZyiFIp5XVFRUPMv0NCR9OX
Q7/dtYjYLhAEwBlJB9EFanV28KrpltFSHufLQFGInpm0kaJEdP5KlD1xmzuc3a9U/ThHe6qDj94c
7jxlo2gMJb4Gy5cv7rfeATYlNq3pZFeGz8DJsMiZGEJ+Jeyk40KT2gVb9Qw3KQpLo69AhrYh+pL6
m1BjsB74y3WO+HWzavp0teQBDNNl9KK8QWpRQ8Gt5ZnYFmwzxcNrq50+m34YFMW4E0Z/WDSsuL4l
r4KRVWu1cPcwaeRKhHVwkqVNvfYMhjQ15vvRxyNQ0jcU0/BX7vhswbFT6qAtHbQUSsAxgyidoFIA
P32TunTSIeG4yV+UVLIr/9bEAt9kqp8XQYRRY4k6WtyjQXYnjpWMATXxpTrvsc69Nl4DdD19ECCu
Fqj+mm23cdaobE8jhjprZfe5oQArzCPMREDArzNR48r0mhuTnQkCOD9soy/Fft5kvnUT/LRN+usE
wSxGisA+U06VFBrR21kWFLtQCXPjdO7bukmIzSYmZqV8M9uyvHAELQAGVWE76qoWVOnCuOQaGPC+
oEXOZflF/iDYK7G+pWIjYH6rlsVCVzJ238QkE8bSj5nqZy2AN+iV7G+T0kzCbBM+Z9ufeLhz3Hf1
lPCD80XlwS9b5tW+ctgwTMp+rsnEhHU5dE+Vzz+19oz4sDfJrx6kEE7kgnEbiyhFCaiwgOWKu8Bs
xUn/1mdLydeAbDvWiR6xmLas2vn07JPGD21pbZ3RzO1SQA6F8lnX3bz6STrLJEGGOjzatbsvKE8P
0e6a/VCs9aVpmJivl9UOJ2v5OWS4mybUmd0c8B5mWCyxDlDzadDNFVfv0PKFrmggu8wbFeDJUvD2
J1kWr9z2pbySc+P/6DyHv4sl+4Hc3cmFfRdqVZDejUM13zoyKV69wn1wXHeG6J9e22Y7HC3a2fC+
ZoWIiV7wRWd5Zj8GTjmHyiG2wgEltlf8nggxHu0j4wRBad20/xyokBGmrfnpNKpxooXfeZPN25vJ
WOURgx5tsMrx3+Zy0F+J9XwUIpE3K/2bRTxBIT0WQlo3Tu1OsbEWFJaSGZQTmudCOw5dhbsEn7gS
en0P8si5B/8w6CGrpsYWwxRm6NhD9TX0Fg5DblT6LFb40JvlsHcPQhgOtwxubRD1Q7BSskYsM1pS
60FgTKRuTL/0fb14GUgW/GzS7lzNEDaigu64sEutzwpn1UPj5uYHYzIGzhxcMWcCVFAn8T2TyssM
NUc5i/rQt+kVXc7MsbaJVrLNtjhg003duLfM/C9wjEovmngcqKOhrQWXszt5nwnGwTAzB+8mkE7+
7IjevjJoKo4Y9Faxk1siFC0NulFP40bcSqu97y0bv8zCV3EN4g5Gkp5gmidJNyIw976sI5oXmAhu
s8GUHup9ss0MCd+aseB9HWTvagcQ8El96Lwqf2Y1K595xI0vFejXh7KQyVGHBnLSnZkdb9K5566Z
INTk2pDg+nLn6ik182K5mLSlxuqfwVCCPIdmoZP5oUUzOJvb5DSrFYXhym5ExFge5qvOmFWuSj7r
mP8+HTFPR39o0S6KQt7YadY/tpZDeZ43UG0WWWgZZb01xbG7Wp9obalpoHCYQjJwZYUNOSeNQbQG
wtqs/2KZYox8srwgYkIRAqqD+zgn/uq+pEDQOKv7iierP9oBN2LPRBtSBllQu7Tda9cqs9fJmxEY
ofQ8VFQYGhHDf+2qalT+muBK34OnIQFSr6o6MbnWI0yNqb+z7VLzSRoxltcThXuc/+sRe6o693Xw
gMFt6xzoxp/NNuDHll/sXbmmF/23BeDbDSDrqf6BtzjbWbpnHubNNlBsBoKlllkEBLMKhbZW8L17
4eznzXhQ2U7fR86a1LtiyktIlgag4mbFimwWVFV7Kr01BcD/e98r+vZGpZlyooBMc+eWoY9lhc0C
9UobTQxSi0m+5ZPtZu7TiVN63Ww/wOZxS2Bo49L6Xj+gU2V1sCOdMK0XlbK10B0KI8YQ0vTkKjLW
UeUzoG2xghxl5jrPIPHqkdxFCpoOOVAYPxGlk0jXiiS9zKcppydn0fsixvM5R645TiIsYU+x+si+
vcSlIo4jmtG96iBn1SQjD6tDqdkkF+3czb049VyT0Sit/JLugTxMzNH7qvvW/tAbONfEDjGNHlQt
fgxlkOSvxH3GsCYPCV6JnjB/oKgtcgff/wWCLD26Y73Z3WSmhV3ee0+IQ3qcUxFrx2iz5Z6ytfVd
Z2N9MS/C2VWcj1tP6IeWf/a8mp28E/RQvGTKru/n2XDOdMvOoVnbInIyA+HLyGorTksm6kh17A66
LZNYEoPu+6K9tu2ujnBP2Y8UvNPioRQ09cYoqE3BvloPzOWV2dOEXnknTTRT1HJwv5dpHuz7Ujff
HVvRKl72YpeUTMsrEI9Yy9vskKfkAvoWZqqV1y4/75DNPymymQ7Mzm8slQWfesOgkHeChUg3Q2Ga
y7GDcMVWakwv6VLx1Y5q2znmuun21P04cbcQUIc0UWEeL3IsnwmW2qDiMZ4orXzD5w9sM/Dqo5Yn
FjM9niTNjIN5R9yeNmxdW5jBWda+TWwmnYGn3UhrXe7FnB1HBVlbQZMgx9dYZJzoi4urJct+CeHa
V0mS5yy0XQr/g1RzObDwU6odLlSghES9mfeWcuKhMy93mdSD60ml5BAbQEmlmzsxgCMWzKFFWNON
W98n3TgMg2pDuknfB68p8A4ssmRj1/nXpdb1YGVgPxlVYu8K5NdX7DTejqg1lJg6z+pXTQyveDww
7U/+wXaUoUNsnD51xYPVz/X1tADE5ftDI2TGRnO0gvKKS8hCffBSgvdr9U4VQhZP/Fpg19QLlvyL
LPWjZe1IG1cvQzFt1xvCcTxKELI7ZVkxAx6ThEyQnIucZtMSQw+FQbobsmeGFq01qqjiHp/DmNqq
u2QU33C1DN7B0EsPlKidX1ZpWt6iP+h6NNq4xuIJ+MD1INlvw7o0o26Tf5Q/iBOtQxWAf0r90sLX
f80NRzQ616djbUt44VpH/Zj0UARET9u8kmevJhOrk78/o2tFWbaIky/cjgewVp4xf093a5mlkAa7
n5zX2IotTU7Ocy3qUzOKqaTuYFiemfCQnJ/mKwsAyBNbqR/0OXWhB0rvInOtOezUysaR3Eoyrx2m
tFHro2Ya3wKju5qNxdpB0HpqNJY8iAv2XrggNGfH8p8zhZoOBbCJsHBMIT4Q58fals7OWUvzolmy
y1xr6DTxhiNlXg+9a3xZrKT7eWF31KSC3HhrvlqZUZ2sqbE/BwwXkZ72FsHk+kmByPgSotbWfdr4
hMVQPdh8KwHcf3Vxvi9Sh+uZFkYkhZ+8TdjIwV1NU49Ascz3HZaVlvl7kiA7yXnGmm4vKO3gKDnj
KObjoxXcNyxYcicsp3W3QJRHvqbPJGkJ7gFXL/uzSSHVvOYQBDD8RvxUwrsqC0fcTK6NSGCgUZOP
L3MicvCTYMj5lTHEo56Ja0DTPnZ3yIywvfwvMzXv7aJl8QBmd4ZRUZ4Xh4cryIGPpBRjd6CmHt6M
O+Krw4vPkE+d19wDJqgbTz2PJDLAONZGc9MCRZOGSzB6O89wp+2eYJeXY/4wyX5AGTRZElzVT/Ox
aMejN3VvRPLOigs+hPyjn8pUu0qCgb1OxfwF/8dZGDg1Z3B8sVe61Vk4yH8M5SmfYauPyUGZYWJ3
l3063YE+/tSJT0QktZyY1sa7zmbQjjDjnRob95KnyezA2QUBca21m9m0n3PYhRdkJEU00xMZppXV
gH4XaZy3tXFU4JGi3hmHUyNTHeWCiki9hDI3J8HdCKD9WCQ4FbJ2eStTA+VMkpTE8w30Tlo/E2cy
Hmbf2arssEKF+BXnX87gTQ+sfbgKXAcqAJz6c98hRulGQcGeBvO39zV0Foot4l4vS3JpzZUtqyFM
VsseIzOfg5FqWaP2doWelWcICKERrC1Qw0W8D0bbvjogWeotML1+YLcAcUiQQ3tv3bq/8fRKOxY8
8HrMdp4iw1H0lx5jsJA5dJFFBFzOvWaTJ6iX5Sf7LG6tVNTveWH4N+1sJVerzMYPLXe/0p6Z2y7I
tOHcIUPfrcqmly73ZpoPc31+9JUz3pqU/63XvfJbaNxe3R5QQWvcVdISm6+L9goGxx70rVxFwqS4
PcyZ5eKCMwnH6Il2beS9wxSUh8ExT6YfS+o8skNwHrokbUGDLPLIfbDEbj9QHhD4T7PvssJnjfmQ
gs4NYere+MaQvNcKQC/wQ5+JmmkS6uWQrl3MJpuaS4pWhl0np+yCPYRU+xSuXtgXuTvCGmX92bmS
soNDmsxqE4kq0IdoYexpauZvDYcbtncz7a10gLT9Uy/s7qLrfB+PWOsFBPeZcx8WuMfhwrrw6raM
qq7n3NF/TPwDbuR340paFdolt3GCaIRADR21WYYraxTjpbcZ6UJdzLh/uibHgyMEKF0EHlAVY8qO
icEcUGe5BWXApYc1q8wrSD7vjfkeGKtyLORR+NCNO011bFp9CoPpuiYZDA5LPTijkIhPeimgai26
zy+hBU+VOQArzLDkRU2apCpCU1vuiQQpyje40eIVZibY3IGDtzJ5RLMFrUU0WeKLcWQTMyK4o+8B
tgFTv7MoXdofxTgfYNB2dyqdzOeiYAcOtWEbf/aOcTt0G3ax6ib/fnB6nqesZe1thQ/2WcMEcLay
Dl1m471f9Ysmn0uh6dd6PVMvIej64fA6WHeD43v3gZZwfOmZuV5oWmb+hFpWnuXgTwwiLcRQZY7c
pW3DsrqrHR9/j0+xY0TUquCmnG2eWOOMKriz+iAtrlH4Jc8TQoPVRWGYtEVKd3b4pWsi4bJPC4Dk
w+2aDiAm3EWYMTNK9UNfvfRMs2VJy022fFWiNl4TY2CjtrpQf1E6+ussCPJ0lxZ59zy6DiWJGk/d
tLV5mHFJRRx2ctpWh+IgtJk4H9LoRZ8o7zTNuozF4JaXgnpXYuueoV+2azs/QnCRQCoUTDBIOHZI
hDphOZHanSg7cQ0i2T/WuNTjYVrFYR6whNO6zlWi9bO88nF2vKDekmYH5fFDZ3932bfdvB8lu3/k
TA+VRsvulwxvgh+kcESZZZAuGuqrUQYf2mQAwDRqfK2ZIyON+ehVMHFrwHTJyHNYJ+DD/i1+fHWa
F2c6u5q3EklNKtzQnDpGdoxkMmVPTWEwXmFNKy/J0P6kpcWIp2TBFegv7+lSZ6FpgytO/AJZ0SBL
GXX98oQjmxbknlISYa5WrHGhH7JJDMAgafCANY5m05bNYpLBX4lwKSNyQRPspNOyl9XX/jWvbLKS
MluPS69cWDXGMN5S040ObIBQjxrHnKp75TAeXzIeNiR7WpKvjI8viV1Fs8P4Bo2VetGlzfZG6a87
uoqvnXLlz3U6Ii213MzQG3fmVD4Fg/lipSzWDH3j3CYgi1LyHjQ4Q4OUgcfMKD2CE61HDeauvWmU
9nG2axwQxf3qAyppbQezw4hrPU3XGxywtPUU3bMYuuIWK8gx0cwjGyt5mKABvWmKMYiJMW4DMuz1
lR2ygut9wIuQ7ZQ/vtdB0d0RwryDwlEtO731ebRTwEzcrdJu6MhbsKmY2amjPPjSnrRPW/PGq9Zs
+l3P+r/LGYMh9AT2i5wJ6KW1upyEUKe+6v4D66BpJ5fL/wbrAAPIoPd/Hls//erxy8g/DK7/9nf+
4S0zfgP7iAmMH/lvDrJ/ZnU8ixiP7en4gwxXN7Ck/XNwbTu/8QemySx0y/Dg8P7n4No24X4wBoes
AYUMA4f37wyuN+fY75xlZkCAJwg83iEvss3I/zi1xugxrsBhnaPvc56us8wnSwzp6Xffyb/Aa/Nd
w+Iz2gHXLMPxjX/y+9l4MsJUsto0OY5FA/6I7CoHWJW0b1vZ0m3tQkuq1m6DTa5A5P76tbff6/cf
kYYXbNqu7mMf4ETJl/3HF88o7FBW6Qd0VQZtyXo1zOh6Bq/r6OU9D5j2PQ1qEaAuMV8Z1iX/pTRo
zOxyXCuqeoNkxAgxX7KtD61O685j2WY3g19se5wqYa699MARWBKuxsFL7mu3mqP/w4fwMBUYRHkc
LqQ/fYN6T3aT3jaGHCvcIWVD96q1mm4EGOOPHdaaMDFK6iy0mp4wQ1cbgn/0I5pfwGXLPFC3LtnG
2xaVhoMgYEsobyvBmhJ0UDCVjHRmKP2UVZO5XCV+gRri7V9/Bi7Z//Y7IGwERMJ8Qmjmn8iWAyDg
cfHmgGSomIGirEATeFActnjlX7/Snxma2y+O3mzh7nB8B0vIH39xTgLDNtgIjpOV6riCqGGQrt+d
e2l1d7pD5cRfv96fbqLvKywAqUN+jppeYvd/fD3TGJqGDAKvl+b9HSvKQHAeLNlfv8r/5/uzqSSy
HA69PsCfP31/Qc9yQVO9f+zNOT/gZvgSVpAfy8H/8dcv9E1+/d2isH0exzQ2ENC2Lvy3RaFI8dnM
XINHc+VcvnqDGWcB18yy8MMttbXJMBn2SIJY5T3GCf9SwDqJ7ILEfzY260XtON1dv2w9D+7kDGhA
W4ZjItxzTDeIJBXIyyHn2nykfwMKG/R1G5N0Ma8UIaa8iBK2iT8PW/ZgusPz7K758a8/pPXdOvmH
T4khxWBp8EyPPU3g4A36w6IExAyERK+OM85+JJ+WyTJFFETS+3LfggHfuVb7RX+ZBj2GGAgXb3Gk
DHvcT8xE90g0/bUoc2bbGMuizm3waJplfu0Eiw2Cpa6fGd/FvTGbD0ZQd5BhoJmHPZuvH6ZeBvsM
CBwJxUw9ZmljsuvPlwMhQqOY0jeWs/LoSseBRGM6ZAPa9oKnS3asRcJ+N3XzI7GkhfxEXscZlqTD
YLX+DwIaxanQ0A0ao8uIx6XJR8aDJ6zxtZ5ssU43AqJ6t5tWz77E41jhbCcEISaTrastxtAdXaZw
0iAlV5JpfALgEFYdk0YO9tqNQ0LvcyECiPyYSTRYaR2cxGbnXrjkK1aONBE7TJugp6X/EONQP3tp
Vn4JI2txGunBwjSqz0j1zC01BS3dFi8eaMrIq80eHH9QnYqlULS2BO6NC/4jkn5OuZ9V5/MNkl33
ExmPJpJuiDVF/0aWlL80pgZX+J40TP45QEqvP9c1A8SKDCq5tuCkJq25bhNBV4vCGsiuHnVI8xr8
I8Xl9n1GbVWI0Ap8PNEtESWjtl4d+oJI2WT6KaV46tJOxPKoVSV4OQMiw7UxagSJFqhGsc7zhaPu
bB3MNvBP42pb7xTKD7ek3gfG1vqI7dobAPbae0KoXBFTRXdCZ1nvbdcjJGQmHTOI/vVu29k9chAl
GF6SdqAugSpP1abHeRn3WWbdmQmxd9a26SRpT9ktGuVguz4zP62e3xxxTdwtfXWVJ05GV/RUktCs
RhQagvFZDRyx1zkamkAL9NRGhQ1U+oC35ipJ3bdMLfoxk1K/T4x1iYvefUa9xbbQNKg1QxFqhRs8
SQg9MCR65s1qnEmolsGunVYV1pRY7cai03ZywtblcWphiRppBqi/YyKtutBI8B6QVxtMqn6C3Jst
vBmVYKwFWpOVWwMnVPmJiws7S8RjqAS07rsNFtccN1Lqmod+GLQLZ21bCFKtHvZMDN/BP+iwAQcP
UOfi+OTmzELcQC3iFzIGo7tYFsM+MayvjoaV60ev5XZxtQUPMi3w6HYj4CQEkAwY0Q69JQmVXjQf
/WSnLwVNTJ+uNywv1tTP5xqZ4VROgcTIJexLgi+wCmWJEJPo02nEd3ajLSj2Y7UwHN0x+xsMmrgC
b+0io3Npz9DTmoTzqh7tSW/21ra7h7kjYqwjgHsWPFWQ/PODQZv0ZY7yjU6AzuC0/NeiGUsR5a7q
voXDyG3H5aC5PmLKoJf7pJgW0vv93F7rtKVHCRp0uE4L7qQWZ4sgsxTlKU8OYwVpChJHxCjCZswn
7s+eS8XKTI8B7ZD6crFKfXjG8mDfmNyo10uOcBYB2sKfqGOm+AXOdo6CSufYBrj0I2NKRolo7j19
gzAbxzN+aDr7C4Yn2Q29q+xOJrZ8bUsY2U0DoJwYmbsO4zFoYAXz5L5K7e6lKKwyKvV1jnKNfaHm
iOVQlYZ1woYOR4Nc3lMrh+rUoRx8rlqmH6uCNpSi50N2gu2XW7XQQTE+HpfFEtdWtiZnb+h5cs2k
K0LXQh4s2kbEQT/xyYlm3+DwmgEWWVSeyNWkttdOb1ZPoJcz+uLvmEEFtRP5EHKUxTspR8ptp0ny
kTTXSHeSFC1gC+Tg2Aoy54YybcYnzcAxT5or41+3CgNvTM7sVZxQJG6AlavqzxMgoJ1hoVSwB56e
cvoTYqs1ATcRZyGb69hQ1PS6OxBRdi4Y5Gn3Cy8AdJxhOh1nzBaBUGTOG30MaNBQduW97kG5B9Ax
3vc6hRe9lxkveBsvhv/i7tx2G7eBMPwqRu4rWAcfVCALFAmQpEmMdJti0asFI3Ntrm0pK9lJ3Kfv
R0l0TZ+yMXVhVHexlOFwODzMcOYf6hVf4f/NrorvAfY/58XwtvPWJjORRcEnZ2BAwhe+R2LvKC5B
/PPL9Du4k+HXMeWcFo94Sslsns9BeZq8gjCj2g/51zR+Afp29HKVP78sx1eIvzdJQOv6Mb7Li9kP
qtUu8aoTuUMyJVge7cs8pC7JXcwN8DMrK5AdOvs8Gg+I4Xqb/XNTbu//G1jyuiO63Dcwwxiifyxk
vvwsKW80XwF167cPmUrnjwQHHfORiWjeTaiuM16ZwElGjrjmgLDSdN2cJT5p7WS1olTye4jCVMDx
YijPz8KY2G3OWViY7fIh82pK3cf69S9xjLHbD7thHAG9w1M1uCaifUI43L9Kmoe/sXoghjOOXIq6
zyqZr8sgZCHejF4vedqWwgaNNSkQcI4BxzUY5079YCWsS6Hf9bDBySHpBdV7ktDwO5yQFHzARWDa
coZ8VApB3+tonwOAkqteWlIIvKhPeH/Qrz9AV05LCiT7dauhSd5+HcnswIzYqwv4cLgvCMjpq8d6
Y0b0Oh72cRs4u3pGYOGelhQogxZUTB0vBdYFwPXxyASdShc2ZoTv+x67YBCAY3Fq/Q8iBsdxLkQh
WtDv9slorNY9UkbW54IfkHxqfHwnNv54JbdQjD+6FkRtz8c0ZeWvtXyj//3YoxkOZfhwqufUtCCk
wtRP7o771wKSj0PcD2G3verluhYghR41VjuErlSz5ORWRAYocp4LPQ94CO3boraHfvDGrEuhmgtd
tI70Kv2c3O7IAKG/Tptj2PNIIuviIo2roaaTlhD8GKwu/FV+hNNeP6c2Iajk5Ff6efy2EEVeSD5e
j6Wh6iTuW1sKzBhmA6ku1ZnshI5IPdZyVyXoezGQ5B3SFXcrQbvjcemjz8unNvoBdqPzMZlDQacb
RZ2wXg63Rp9szw6hZb36HP2BheAnFGVle12M1XRYWl1KFruMs30fGHtj+31ta9wMz8+0UWV9qI2w
qm25upf8ZO0ZpSWw9tJYBmU79b/XHdxu2mrL9Mr8eK1kLvDSLMsXy5rNgZhhu/02FU/CxiJk/UXz
/uPk/Mzic0393yFcTISho2Xit/WVhjNdAMqy1CYc69Rjd8ITkRZ2jjJ4sqifK+ULMVXfsnwDoqTa
T5xpZ9MsF0OrElm1SLlTTlOZzFWysEzlHpFr7iK5lFPxKnJpKGn96FMr0Py989p+tfce0jtj3rey
by0ScxazJ2UpS+yHDWghns1cDS3CtfXsKvYrmeUjm2XORvre3pXyNRJXytApZ2QIVKj54XiR3wzB
MzVkSrrVKcGV4ZvpVKWZKmzSpV3iTDodKrGxikRAC5imHISRvdpqQVAEZ11Xhm+316auHzQwX27h
bJFMlobFcvz0Odz8cLwo7jJuZbbEDBBTA9vLPWVzrdVDB8w0wPO9oGqXSIem91ocQRuXlfnheHHc
i6IQyXhRyPnc0umAIJ8mRKKSsRoJ27kLslUDM/xesRcQzmdpNujDGi3LVbMpqQ2YYqFI+jHESqED
7tkQ9Yzo0w3SjTBOXNjGGhL4II2Ypo7XlIF8ysXG6YngDwo2OUt7IF+EvW/Vh3rXYRzI19a1mD0X
Y2Vv69DXxn4T9H+XeSGXhlapJRom2/zgIvDX1r18U4m1jeEJ1v7wJjj/O8snhlLNt3YvOpOmyvi4
dSEo5ans3Yz8XL+xBi7FZHPuU+WsgSPJvhq6KxPpONvjEMK6K+lcAphsRq4cyspT7DqUD+8gGTry
/XmcDWXrptja23pdHTDpyv2f2WKPIoIL5TewL1cNbCuiJt+APfKI9GVRSOtIUd8KuspmL/KV45D+
NRdjM3JaEesrG1d2D0Q8OzK8s+YhfvEG9O+LYN9JR5TisyRSOa5dJfJuwUZHuXxRRZIRMWLzXl09
OPO+BCAxHVlSAQv13T1zl6dpdVm97X8yV/G7/s12rukvkqkU+ad/AQAA//8=</cx:binary>
              </cx:geoCache>
            </cx:geography>
          </cx:layoutPr>
        </cx:series>
      </cx:plotAreaRegion>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_xlchart.v1.13</cx:f>
      </cx:strDim>
      <cx:numDim type="size">
        <cx:f>_xlchart.v1.15</cx:f>
      </cx:numDim>
    </cx:data>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200" b="0" i="0" u="none" strike="noStrike" baseline="0">
            <a:solidFill>
              <a:sysClr val="windowText" lastClr="000000">
                <a:lumMod val="65000"/>
                <a:lumOff val="35000"/>
              </a:sysClr>
            </a:solidFill>
            <a:latin typeface="Calibri" panose="020F0502020204030204"/>
          </a:endParaRPr>
        </a:p>
      </cx:txPr>
    </cx:title>
    <cx:plotArea>
      <cx:plotAreaRegion>
        <cx:plotSurface>
          <cx:spPr>
            <a:ln>
              <a:noFill/>
            </a:ln>
          </cx:spPr>
        </cx:plotSurface>
        <cx:series layoutId="treemap" uniqueId="{45465124-CEA5-4033-AD36-53BF952879F7}">
          <cx:tx>
            <cx:txData>
              <cx:f>_xlchart.v1.14</cx:f>
              <cx:v>Revenue</cx:v>
            </cx:txData>
          </cx:tx>
          <cx:spPr>
            <a:solidFill>
              <a:srgbClr val="293E1A"/>
            </a:solidFill>
          </cx:spPr>
          <cx:dataPt idx="0">
            <cx:spPr>
              <a:solidFill>
                <a:srgbClr val="70AD47">
                  <a:lumMod val="60000"/>
                  <a:lumOff val="40000"/>
                </a:srgbClr>
              </a:solidFill>
            </cx:spPr>
          </cx:dataPt>
          <cx:dataPt idx="1">
            <cx:spPr>
              <a:solidFill>
                <a:srgbClr val="70AD47">
                  <a:lumMod val="75000"/>
                </a:srgbClr>
              </a:solidFill>
            </cx:spPr>
          </cx:dataPt>
          <cx:dataPt idx="3">
            <cx:spPr>
              <a:solidFill>
                <a:srgbClr val="70AD47">
                  <a:lumMod val="75000"/>
                </a:srgbClr>
              </a:solidFill>
            </cx:spPr>
          </cx:dataPt>
          <cx:dataPt idx="5">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300" baseline="0"/>
                </a:pPr>
                <a:endParaRPr lang="en-US" sz="130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noFill/>
    <a:ln>
      <a:noFill/>
    </a:ln>
    <a:effectLst>
      <a:outerShdw blurRad="50800" dist="38100" dir="8100000" algn="tr" rotWithShape="0">
        <a:schemeClr val="accent5">
          <a:alpha val="37000"/>
        </a:schemeClr>
      </a:outerShdw>
    </a:effectLst>
  </cx:spPr>
  <cx:clrMapOvr bg1="lt1" tx1="dk1" bg2="lt2" tx2="dk2" accent1="accent1" accent2="accent2" accent3="accent3" accent4="accent4" accent5="accent5" accent6="accent6" hlink="hlink" folHlink="folHlink"/>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f>_xlchart.v5.11</cx:nf>
      </cx:numDim>
    </cx:data>
  </cx:chartData>
  <cx:chart>
    <cx:plotArea>
      <cx:plotAreaRegion>
        <cx:plotSurface>
          <cx:spPr>
            <a:noFill/>
            <a:ln>
              <a:noFill/>
            </a:ln>
          </cx:spPr>
        </cx:plotSurface>
        <cx:series layoutId="regionMap" uniqueId="{2B497ECB-3BD4-4E6F-887D-1150629F5D52}">
          <cx:tx>
            <cx:txData>
              <cx:f>_xlchart.v5.11</cx:f>
              <cx:v>Sum of Revenue</cx:v>
            </cx:txData>
          </cx:tx>
          <cx:spPr>
            <a:solidFill>
              <a:schemeClr val="bg1">
                <a:lumMod val="95000"/>
              </a:schemeClr>
            </a:solidFill>
          </cx:spPr>
          <cx:dataLabels>
            <cx:numFmt formatCode="$#,##0" sourceLinked="0"/>
            <cx:txPr>
              <a:bodyPr spcFirstLastPara="1" vertOverflow="ellipsis" horzOverflow="overflow" wrap="square" lIns="0" tIns="0" rIns="0" bIns="0" anchor="ctr" anchorCtr="1"/>
              <a:lstStyle/>
              <a:p>
                <a:pPr algn="ctr" rtl="0">
                  <a:defRPr sz="1400" baseline="0"/>
                </a:pPr>
                <a:endParaRPr lang="en-US" sz="1400" b="0" i="0" u="none" strike="noStrike" baseline="0">
                  <a:solidFill>
                    <a:sysClr val="windowText" lastClr="000000">
                      <a:lumMod val="65000"/>
                      <a:lumOff val="35000"/>
                    </a:sysClr>
                  </a:solidFill>
                  <a:latin typeface="Calibri" panose="020F0502020204030204"/>
                </a:endParaRPr>
              </a:p>
            </cx:txPr>
            <cx:visibility seriesName="0" categoryName="1" value="0"/>
            <cx:separator>
</cx:separator>
          </cx:dataLabels>
          <cx:dataId val="0"/>
          <cx:layoutPr>
            <cx:regionLabelLayout val="none"/>
            <cx:geography cultureLanguage="en-US" cultureRegion="US" attribution="Powered by Bing">
              <cx:geoCache provider="{E9337A44-BEBE-4D9F-B70C-5C5E7DAFC167}">
                <cx:binary>1Htrc9w2Eu1fSfnzpQIQL2Jrs1WXnBm9LNmWLDn2F5YsKQT4AgmABMlff5uW7EjjRE62tm5VXLan
hs9Gd+N09+mef99O/7qt72/sT1NTt+5ft9Mvr5T33b9+/tndqvvmxh00+tYaZ37zB7em+dn89pu+
vf/5zt4E3RY/xwjTn2/VjfX306v//BueVtyb1+b2xmvTvhvu7Xxx74bauxfO/eGpn27uGt1utPNW
33r8y6vzj69+um+99vP7ubv/5dWz869++nn/Kd+98acahPLDHdxL4wNJZEwJidGXP+TVT7Vpi8fT
kWAHHM4wjqn88od/fff5TQP3n9+Hnz4aW309+kcSfZHn5u7O3jsHi/ny+fTOZ/I/LO/WDK1fNVaA
8n55ddVqf3/306W/8ffu1U/amezhgsysi7i6/LLqn5/r/D//3jsAetg78sQs+0r70anvrPLm4iUd
/E2rELBKwhNO+IPW5XOr4BgdMJZgxKj4+tYHe7yx94Vpvx7769b4et+eLdZF/QNtsXv9kgb+ni3i
5IBJxjAlDxsE4ee2SOIDmghC4+TxAthBD7vzwSK72lh9d/P14F83ybcb92yyLu4faJP35y+p4O/Z
hLCDhMZSoiR5MEq8ZxN+QCiJORaPqAY2e2qT9/dtC2B0f//18F+3ypNb9+yyLvAfaJfj/+FeoegA
xxQnhD9Giz3cSuQBpoBqLGHfcO2pXY7rWrdGA8Q/HP3rZvn9zj2rrMv7B1rlw/FLOvh7u4XSA06k
ZISjb1p/GuPBKoLEgHHyjxHsg3a3pnX6vwgrT27ds8u6wH+iXf7v/9Au4oBiTJhIxINdIJY/tctD
lOc0QRR/gbk9FPtw4xRknv6/ifdP7923DCzxH2iZ8+v/nWWIPCCMU8rI445J9iyD+QFnjCTiMQDt
Web8frz5b0L+1/v2LLIu7R9okav3/1uLxEQIHrM/jPgY4wMukjiO+V6FcuVv1Ety/HF18nDXnh3W
Bf0D7ZD9DzGLiIOYUc4llg92AM9/hllYHqxpl8AUP4DaV90/ZMPZTa1/M7bVN1+P//UY//TePcus
S/wHWuZ485IW/naUJ4lEAvKvB8V/h1mQBkCIFwliX9/6YJPjuxtlvh766+Z4vG3PEuuS/oGWyN68
pIC/ZwmSHEiZMIbo79XHsz2C2AEU7pAl75WKmYFa8ebuv7DF73fumWNd1z/AHC+L+LQYeHbl3yS7
IKwzBPkWJeIBvED/Tw0j5QFaixciH8sX+tUpHjbKHg3152L9SUx5zmI9W8n/J47rz/mvbyTh5sbf
bL+wi08osJfPfuXO9m59oYh7PHV898srKDugSvxGWq7PeDz7ZxHj97vub5z/5VWEMT3AJKEM8TgG
XozBA8P9w6mYHlAEOQOnKIGoRSFetcZ69YX6RFgAywbptZQxTgAwnRnWUyQ+YAQeCFiZJICYEn9j
dN+aegaG7ZtCHr//1A7NW6Nb7355heEd3cNlX0RFTHIcY6DzBEFAFFHA3+725gJy9/Xq/+MXYrp+
GKbzNhC5HUOuutSQUlRZJcL4jkdsPimnsa22CFX+ozd0vKqom/rUybb/8ER7fyQNVBX70lAkYyEE
RTQBkuS5NLSdu0qqYTyP+xafF9XS5ukgDFfZNHoj0zHQ4aMYu0intkl8n/WlrYo0X5ygWSJFeye9
R2/gGWrYxHWNrxYWJfhw5iy/x3OEp93LEsew7b6TmAueSChSBUpitCexFgpsO/tzMrGi2PBpqa9G
KhOy82I2LB3nCZcbLfIkXQSfdTpXiBw2o53xxo7G36nJOZzpqGMbB3T9mPpGoTEVllXFtjClelsN
8qRxUrkNQIe8dqo/rerApq12ET/TVo3N4cur+t4MgENIgCE4+Ab5sugnTiHmqAhRV7vz1ufy2hQJ
jlNaxeAaXTtMb8Nk5WWX4/rXl1+7+tpTXxRYCAx8pYzBF+G/Vawnr2VoKmjniva8TRZ8jis1nLfO
ZjrJFVQh37bpHzgabJ/v3iRRjAQwPliKZM/PupbOS2+VOU86RG/6YGx9mPtkjtOqU1vUD/WSETQn
JisJC82PnGZ1iucLBUeJGbQ2IF0FdNh7vRBEq6Jt9LnoK3bTlAO7qSD81odsadyWW2PSGYHpD0Pd
hzjtKyPufS3dcZAzfT1xYlFGQmmqrBRtc0VsF5ONSub5vovGboOipREZk4baI2BeliF9WXv4e0Ml
YoUNaAHEFPYqYNpTQyE+sJaxPDrDQ97caOtdkeKo8i1NyTy3xUlQuvpcJLJ7PS292nFDJ53FeBS/
ebEsJptVITJqyvFeWyLuRtYpcfKykJR9Z+SVZyVibVNAh4gJiKhPpeQ20cgqT85K2ne5TDZequVw
8hOROz8OQ2anHr0bm5kNqVJKZBa3hy623WFNuzir6r656GrWTKmoQ/EhlI05np33acf67oq7Ktnk
fZtngylLnWpPypDmpWvPQxe5N320kG1RYFmm0ZK3TRaPqjli3NcXcVm8LeaWTGk9iP7c5/17HzcR
2fAxBkXqOQZsoMOypCgk5etaseRjjgZ6oniCXy/FNMosIEUbSL1mfRwldm7SMCfLBgcWbZZyuu1c
7y8HFAmVhsaLXe764Zjmcfy+VzhUh7mIsE4XVeWfgXmzY6rbPvo0NKLZdJ2LjyvTdse4l/WdHjsO
+5401aWW+STSsafFic3tkM2gh0MMZPibPjTTlgbb7zCe8LitmcBFNoYi6bMxVvm2ccRuhk6+UXlU
oA3Gxh9BqIlD1qKSp4kX9a9Tg9RpbGV3yYhnh4Mso3jneLPcJNzYrUNTuezGKil20TShm9jV4TdX
dB3LltijIW2LeCx2ky8NbI4QtnMxDsnOmlxtak+aoxYuTSWn1oCim1GkpSvLKBN5EKkwbFpS6us8
Iz5qm0PLq21Bhxm9CwRT6IBaVKcleJLfER+kO5yImF7zalnq/N0Qet806azrubV3KldxvHx0IZpE
o1JpAcrNbTw3pSc2HfwwdOjcV76pphOp++VwlIPPjxurdZeWcW0ukYjIcTkTMmQD2CBP5x7JCczV
JMmmzXOIh76uQr/lVShQZmuP8zeqR1yYo2oWQW3mqZb+NXeegEeF3GAXsgFi4Y5HqszfjLB1eJH1
SZeAw5HKNbu21lamdQ/BK99Oo+ZZlEOlzdI5Ry3NjMubJlNyCPku1KJuti6HrGDH2qJZsmRhgJht
XNEha5SN6nR0c+HeOh01zdYUOvktGkah0QaZ2B9qmgzJOYvyIj9pifCClVk7uX6ZjxwCdFPbrlCi
2eZuXPqdtK7Vu7nmzXyEnGu6jMVzrTMxsbk+tLrXUQZmjT9EXbPgDSG8ajbwD0Vv6hJFDlTeth/K
ppHNMbHS19tKeX6xDJ6QXRmZGJ+qoJxoU6Fi5Q9zO3btJQRjclIWS1zthg4k2BpfF8s2wdMis6Sc
u3DWJDO4dgRbxW5yjIcTSxirN0VOimEj2hHMqYWD/KRdSrLc1xWRfJOAAM2GzI3qjzHS9KjQouJZ
XFU92Wij880y5BVLo2A7+bbMQ0kzovtySZuuXKJTlNd0h7u8YCCuFN0Wz2oxx0rjUGwrSVVI1+tS
LLVswX0K0mdT0NGS+klHn2w7mzlKNeyj+BwvrV50mow0Iu/nOsTDOe/kbDat7P0ZG1oISYUTFdwg
GwLayrXC7ccF16066eemnnYusEWfYl/497SM2Q2b8iZPEwzOuxvaSZCt44sG4QdcNpua9JXLkpBv
Ndb9xzoEyCzKohwvHePhc2cVORpFKPJtUjEUp22Sw3NYbcpp19oRny9TR+g75xl+j30EVwQeuSTz
eBbTdoybUh/ZKY7DcSsKF7/RkZDXLepX5yzL3h2K2in3dpqpTzLUB7CNCi0IZhyA7ilEMHlNEgTe
3QBK2k2C5WSOvZN5/La0Q1VdxEkr6fFEyzCc+cmvyaeap7esivi0NaGBVxuzLGM6xY1fDlEl1sWv
ogfAJ5Cra/A5ZS2sYugZqEpVployWY2wdbq6qPS71grY8naArKCAc4CpsW/Vmx7T2bYp6RQCcwc7
DWdNpDqXajT0025CApHtPPbxChqwmTJYEQDIJPGaJ/u2uc5jIk+SUeskTRSrwC/mgt+EloAYky3n
C+In5E4LSHPLU9O1VXmZQLQ4dC3C570s+o8UxbxPFVU6PjFJIYfTXJli3MxW9AES3JkcdjGoNUOi
n2+rumJvp8Ehc9Sjeaw+BN4U7qjJo+a3eZErhui+VhuoAxKy1fGs3K7jjfwQobzZNaEr+lRQgLnZ
BnWhjXensqlKtmGxjQuAPWAy0lHF8tqW0Vhs67iFbbJEOZHHtDW4v28AkOeTBINLbcOK2NuSRaDR
aVzGLQSZ0J9iO8Q8y2XtR4i0ZESQevflJytH+T6aIU0/WaS3+M67dnZpg7EYj3WI4VFTg9WS0VDw
4rgDs4QsqiTfLWYc/dk0i/qyHF2fJsId0WYa2dESOBinQtgth11dGXPW8om+jjyiZqv6thlPizl0
KkuYa9R7yETcHZItwAhApxvTSrngUhnGpIcoMPeXddFj/Ss2C0nGdIEMbL7qPIkkPMzldqtEVBUn
Ud6Fz6pA0ZjVwvHqWEuE300uypdDO/ROb/UygJPq2Jfk7VTVCztveFfXad+NiJ9RrOiUzZDduG1Q
HVgtJK0uUruIBrDDuXqLJzLZzVjHiT1ckh68v6JTITZzPiOX5Z3j/YfAZvy+VBZ8DSKdvAZfb9zb
VrYYADbuZLlLGsVDOg0f42QICU6rahRXLG77sAms8PSM5nUyXvS5kxaCO3j0ttMErAmFwzy91sRX
5rWwnSJv4wnV/DifjIR1TVNUnFU26sKmcTlgBmRjgz+r6xzkt7Iqdk4lldqECaHjuaew72fOhU5p
rsTZl6z0kbt4rDweCvBb081WF+pxqurb1/+8Nw38/TLv8/vBdSjr929nX6e5Xrzq8N6sPITbv2iV
5tuzQJhH6Vb64tmX76iUPyFLHobD/uTkMyblGW/0laBaiYaYQuH8rUL7jkj5Q/bq232PVArnB1JA
9IamJBQemCLopjxQKUDqHzAcw8yFhAhL+UqXPDIpAkO7jAogzmKoUqGQeaRRMBChJGbArmBoCEjo
CvwdGoWstcTvFd36RuiIApVCoGSG8ah4rUWelK41Lm0LEYPdJzj3g9zGHe2iOkPdqJdrxoauuqGR
ZW7X9rOb6cbHE1NTFpkcfS5aS9soM/FUiROp2DxsKhm1/VGQTe3OoALpojk11cS6z6zy5WQ2Eed1
SbICajN8LyYzDxe1mkR9kySsy29JQ3p+XnDddwQgC3iCOqMds80bhZEP7aaoma2A6AmsaV5jMfcg
ctE0eD6NG9KWv0VuNHDPE5M+uv5Truk5q0C5BGYH6jCYv1h7NDFaqZQnOhK40YPiKrnPg2nL/sg3
tKZHNR2dFUeLK7wO2aI7aNLUKNdx/oOqG8PgzTMbSairYZiAkgTyLAzCPH8/5GCJ44jruxJXpNKZ
N4QRyM9lHPXlzk6hsH4DBWNBVRrRaOnat4GS2cUZpgsP5MRz1boqNaYnFp9LlvRw7mUdgQs/lRFC
NCHASUiyDjWubvlcxknpKFaWRHc8siOKN8UiCtHv6oR6gtLWes4/QWaUexhh+Lbdfmyb9b1UUgEU
JYqBnNp/bzfMRpiIJHcFZHWOpyMC+udXBRVjC/VDqQf9ps1hJNVDpWyg0fkDRmElDJ5sH3g9MDEw
fhNLKONj2EPPl12wUUdoUuQuErXoScYC4uwGNlLkj82iRX2uI2zwGan6ebisHEKLSmECoQalvKyI
7yWBxjmnnCVIAglF9/g8JVRelzOyd5QH2HK7GfMFIhSzYXB0C1QU5Z/sACoAApRDT/iTgczGAnOq
DerCD6zynGehArEYRiyANeZsZY/Jnjd4rlE5V21+m8ulZfbQ9F2Tz9soBzpwPpwTO4GLvLx+vIdk
8E6JgDdZNyr07CDZ3TOFXEomOx99VtqKJjqavFo3RDMZBaOvA5QjC810A/lyl05A4oEimEZquGw6
Xs5ZG2HbXspGNbbd9MzY+KIZdes+vyzmc26HCphNQRQ4YoYFYDjMdD2XEqrQxKJ+mT5P1ltwAjRU
COyDpkBYBMksGaPLLoaSCjaND2b90F0x/MA+3ykLYy4oJ4jLBLg8gLbnYiR97PzsuPnc1iwCDC8B
vZYApC/yMzslOQPcd8VgKyD5WAuIarvGYnaURJCwVmmvAG1X5IcSLoCESz2e0qnqTPMDWMH7bo1X
JYl4HUMAC3O+F58mEtpOtgv57PKYR8229K6rh7f94nXXZqGfexAuEs0I58zcN2beJNUyR5eh6/Jj
SLjqssiaZUHzKRSuQAunrUQ899nAUFRfQNJeLEBxETkBJMZROeP2BEGKD0+tdB76/gfbdK9vAUgF
NYHkkiMYUoLWMdtDDPDMth/bsfskmGElyzqUMHDFPB+ktBlegEFRaT4/oGc9UDg3fIGTDucJnJqC
J7zfDYH8eA/RfRSPIduQsJEwjmFU+ju3qCYgVKAw6j5BQattvyXAFdKzGCsynxI3zKAOmY/1ct2o
aZ5FOigbepUB4Ad+UfRLHh3ZhpbLtY0Gx88TzdcEYaJjU8vDamCreYwjElxoHgUbLzpbVsv1UgMf
VKWortegpUH7YCDTSgUHCeSqy3XSTBPYjrByhg+3oMInm4454nZcDKvtqqnQkGD0X14vkyKaQ5qY
qYRHGEgeQHIdtWtu4DvWVDeT423f7eRo8XhJiVn8a2ur3KZ13di4yaIib6ajgkJw/dgmbU6vRzRi
cDKRFJBnjH1rIEV5GRv2URO0L9DaSSBUcEbwnmuQHBhoLLv604IbZwuoxJGAMjmY0tTHZOgDAMXL
b9xHo1gAFkGXbs1KIXbvvxG4QadCQ8JHsgyrM4aBrvAXO1FB8OZjz/inHCggcELgWIAtPxMALOCn
L4uxprPPwiiQ3TwWECsYtBcoZMnP4Wgh49BHkjfXDW0bT1JvBhbdm171gEaqci3e2lwY/XZ0SQGI
0ylmoMmU+Hg0UKeKUEP7KS760zpP+OVEbJ3MqQuYjxc+iZDOerZM5hScCKm0RDSH0pTmHK+bXSHw
QzMqyC6O87Ly684fYYrtDcxFiW5OSWXJNP6gUbWPawl0QtE6VxV/GVmAmuD5iiueqzb0TlyNQ4sg
iWXWxpDEjsvqtxSSLHoEDMYEbjtVksBH4b9kthHvVpcmQxni/DKf+OrSca+Xxh5p6KasENkvDuFd
X4+d04cLmyvYdXlo1pwaz0kDu1PgHrbRD4z4vCNLoVWcJBA2AdXAghijPajuSdsspmzjq8QrAnvL
d8UqgI8IsMSP+xiGO2aQLVfTusUBK1dIsV0PgSZSGNJ4DNwoHDJAt1U3tSwFPdKhXvXQz8Hw87yf
4CqtyLrEuWi421WRsGTXJXYkLpshXsByf7C0vQoAliYxNJmhcwSDPhTyvefW8lOFRT2Y+YoU44pU
3vbgWku9aHPrUVLFbTp70y/XIm7X+NhEBoNBJt7UxbxdGg48406SaAhXkKVaUEcQJQHvI+MCaNLq
SIKL0VB3K7oNAJtHOu4CwJqHjAReqH2O4BvUWBhU0RQUVOG9UJHPWD2UsCWUjEv49qCfFQqrm5eV
sLdHE0gXILsSMUug7ETfpbo4LJTPvI/ej40wgA4P6W2skmmsMqgsoTH4I1jYC0frKymBxB6oc/gH
WdNztaPSQNbaTeK9GzB4iJ+9B4eC2A/6oWVHDdvmITKTS3kNxLQ9qse8hZQFQA+0BExj7d8K7pK8
3OWeAgUDVUg8XliYX4EI0ESw8f3UQqB6NFvRhxZUOdVJC3sFdtFqjqKaVkNEpcbwIedSjhfINAYk
YVUFsanifq1TX9Y2lQQW96S0gMWvQQBAAiYxIAvar2wgHXTQcZrm90rNHHhVP1Sky/KA8vKcxwu1
87ZXlndJKuNYliq1ttf9CaoH6OinHWQ70aktmoie5Y0SJINm8VTcIl2jo5APlG8q0Zr6jpb1Yi8a
wxv4TR4Q5OENHTGalk1StpJ1WQ/5oxt2IbBkPLe9Am4q5Q1q8Gtov2G5aVsrcVZOfrB5aiYg0cpU
taMF6q2YqhE2w7jYMNfpFLGSljsYGhnoJa/9TIsMTXgIw2Eng8I55G954Y+9EpCZZWKpw7JAWQuu
2B1P1ZwPae+6ku9GKQqyYU00Le8DN7G+Hmhd5BtCfYyzGepTM6e8APJ7I3UMnG7B6uJIxMRveoPC
cprLFqFDHLCKdwWw8Aptu8o09GpmY1FFV9KgaXq/9lv9WeR8G11AxBDDHbOc26tFjEVr0s4YrNw7
CXMT0JXUwG4AgUqTxqSyMiRWmbCL65PPuCmT9k7FnRmnDbjK3N9D1ywEBH3a4HB55PO2Z8kG6gBW
88O8iSp+LjEwoNXhyDtoFqp7lbTEg5YnaMlbegajLyO49IKt69Q7+IWC52jbtrTrxPEgodVRv27Z
VPXFthwLH8bXgeWF1rucNmFgF3kbk/6Yl1QVyQ58hZMq7cYFQVivXaKDTIuI8t5vVG6Xcj4OhYuU
Pgy6gWiTVTJQANix0wP71UQDZ9DdDyxEeRYIpC34fOgg65Kpn0ky8Tc1DM3Ah384GGldwzkkoaq3
2WIc7T8v0CqMx5OS266Ij/AURUJkc8mqQRxObYmbOmV0XOMiYpGG5RSEQVC5mfIZfpyRlUxJVrwB
/jl0AvpOURnqnahIFHfH1TDLZHzDYRhCy7SXcuUkhPVMVdeiyPNoOaW0dqCpaO4Bss8AtXvFTiOS
Qy/jNbR6NK7flmUok3wbSgCCYms0JiA7QNYq0jxGNYq3qFCz7jeoq0oLnU6PItb+GhdxC+9rylrK
qwFayn1mofQGzQJRrCGCZJir9SEgP6Qsad/LNaenysHqsw46VoTvShVWjZHaV/BhnPLRZduIFfLp
6ItEZDJ4Aw6wtJBvHHppG7iue1iq8jCYAQ8uYXBJQCxxObytVhiKzBbr1Ty4oypmH3A9rXpuqSyB
S4qGyIIporZKFL3veyho+h10eSHTyoDgnkUPsy2KDRFYkA79cO3LdtAt6CuClt6hGhaKp7MEhrFA
FA2W7pZLDp4FbyBwqv+cR9PqYNxGq+UZzDf1n2vZrKoZRxj60hBikz6ADCP8hgbW+LgeawnpPwPh
puAYmzrDLytGc0mgmyGBAEo7oTDo4tF7YLwK+oEbUUbr4nI/f1HGAF5js8ccV7KFrd+IY9UZQdpG
l4+qjh4u/6rkh+uAKYirMxF3DQiA20iNnyvNO20PdUtmWHQfL/BT6LSISaHRJRTgBUx/sQdDmWX0
4GpQeQ+2OG6xnHOWwrTQOPM3shkMaAk6gTVcAm0FDFIBzZGPMq3QvCa9RcNiOFiLAvWf5YMGTQc7
CHDtYU0q1lCjZZ1pecBH85Cs1Tl6MO2De/C8qkE/nGq4Y8tEvS5+4rMCPy2wXV8DTTIOB2fTI6Gu
lkjTwZ/ASsmq3gdHWoYZ+rNbWOT6FKytg/tgRpSAdzmvVtEfFBotYYEvpiaGim2EGLTmjpeYiak7
LFYSCW2DHgzsaVkWK/PhAthXjyLuP2NetOA+jkHGCou3IyS7bxxw2esD43H9oCOM6oBGYBQDLmkW
tsrfDrxQ4Wqoi7rQu7ZI4LmqJ7ggR5WbBfan5MFXdOmkF4ePKpflaEGcSZMKHgIRwMDLy05XEOdH
3C8cXUHmVibjpusj3+oMuSKHl7NSwWj+xtcdcJs1EAZA2YCZ1HAsTLFuZxjJWomeah54mewqSBan
+YRIV0/myFODYDqhlrRuxjR3BdCGWOIBrle+d/ABSSOrz5t+gP/nJgBvx1DAQBX1wOXX52PlcyAF
gi3h7VgVZrzmbT5BFZBDoxI8I0iA8nI3kT4GhEmsqodkWzcQYpvtFLU5zGYxCaFq+oj4VALeFLUx
VXX0SCeXvla23A2qhnr3dqYOfvR+1JUK1HFIvuyZ3iQ1KMzlocqXa6ISE/xVT4IK/Mg/LH2ShQMV
kW5aKlhRVQTHtnxBGFDOW7qqD0/d6jXAV60u/sCfJq4KoAE8xOt6vdYxfFhwcLi+18A+wjRAvQCv
LGlctTIFymLmzRnpsIUr+IzXGnZkgwO/eiBZFsxqm0N7v7d5fFzkPQyWpMsD9ZZDWQ6sYc9oBRRl
jisofZsGaqcWRlaAmGCnTcXX/eRp0EDCF1XiASoJz2eIeW4GpIFOIOGr8gZNVqogHpIKuPiybgu4
3c41rPJjgPQsj05C7qzV55KUK0lpBgh3Z6LKCffvKNBYM4yy5GU0wwha6FjtNkBdYE5TASQQ/0QL
gqEkh2AowfhLRBdYFW+bNWw0LF/dzcYWg/M9aLL0BphoopEm40lYoHsv3lXLEKJLC8k0sApL10v+
CfAW/CsK3QIaKCla15B3bQTgD+XlylLVGvJVyKxlY0L3CcZHVY8/06nm9TnnfTfnOxob56Pfgsbl
lG8hopGapa4G/jvKkhoLew2MZKj8e1T0ZVFkOZuJmi6CgNymv5OjhjmAjy5PgJo4tNUwNjKL4sVV
1wsdYmrSAaLDBMU+DGJBTikEkwMewMubUsbZCAf/H3tntmS1sa3rJ1KE+ubySJpzVk9BAQu4UUCB
JaW6VJNSpp5+f6Lw2QbvA7HvzwovE3Y1U03myDH+zlaEBnWDmdL5jzt5eZcj4hIeDwY0c9zW93LT
tutR/xLUBPxB939s3nruju/ov6P3hXCPfxc4tsV3mNIc31h4oBPdicn94DbqtpBs5ZJusXjYF+PI
k2CjHrsy6Y6v/Fiy9JRUIuR+x5deIPijnFroAbRBTJg67mTHj6qKym1IN7RLvGizF4l7vaHW44dK
az/gwBmeiD982rLletxt1rePYK59ALc8rrypYRo//figYEo40kaWivX0MrH1tdijJhW9VP5rtFjH
/TUvQONIOgKrwWrHA4Scp3Dy/bwru3FA7jGGynpSdSD5/mWDxVtvarc82jhodj4jWtvjstT3DWcN
DedIWgSoZ2hl3INmzPtNH2syKtAm1WlQzX3XnSrRshuRyx2cBDjwUfQa7M78Xn92LHFbuV4bxX8A
vn4Z6MFyqA+sYJfiFjr/gpWRUdGcNtJ9qoYh5KqjstTshm2gzI6Wf+ygdgV4qdIVCRPX/ofp7ufZ
7vj48OBq7CMEgc//ZbCdlB6sbY6Aql5KowAD5iqYA9hJv/+oXwB0dhP6GZvPArLi7+Ex1v+DvNzi
ZkSG7PR/rxG70cOQoSv1/VdRAmdFRQ6r46WqWvCG0d76vLIfxfH31/IzhBDYNusndrB4Itr3WOfu
z9dSrJ4LfCvKp+TQN3+qA+fox+cZafVpH2id//Sc//2BBBoAHBwyd8DF5Bdcsakm22k7u3gz6p6D
omw48a8j07DUfuzs39+g86tA2j6wWxuRqBu7DnTULx+oW+GX/dKGb35UjK3aD9DehJ4JgrP253g9
C1nsE9JLz4i8U/1Rz72J0mDNu8959Icr+nml88wZpfBaQI0mAebbX2kxk9jWhrxpfNO+bKqNvo49
rlVTUNdrVFW8gspHMOrmicfhQGthVceFCOmNas/Wkcn+HHTeENipprSYjFI/8u3sj8J5qI3HPJlt
L3yWfCmzv7+JX18jL863PTuAMcGTioT753XDuTsurrbWh2pujsq0f2+E5Bz06rWxYuWTV/A7Uvl/
+rzA5kUe/wvD8BdwNtJ0I25sq4cfx54uq1Gk9kBlHdJprsv/FbQW2ED+OGW4vyPuxP9XOfA2RJio
LsXDy7FEk3y8jahp2Rf9PB4Hxu9v8Kgv/40tgc+ilGKhHqIUmGL++ecHupld19MeNFdRb01NkEVd
F3mfwokN86ct+O+P4tXF0F6EizBk/lrqusLtjEJpdvXSiqxIiqk12h07/vj9Xf2QYvzjxsAK+agE
gcx3Yh4f0s83ZtvwMlFdzZdpd+1qPrmBPtQICluhGv6a9x4OHUlwCbaapF2xMy2mCxotp7vltEaC
U2ZDI0F+7lwf7MF+7ArcMcOVoTcIhodC142jTVa4UE4f53HsGIMm4fr9eOpahZw7swc7nLs8ngKg
tjtPO4MXPiYvfF4TMox4r5BxOaO+b8oKAXVOkxPWDpiIQKpxxaAR1ehNLSF5FT8alMjix6q0eWkr
6NBjDovwexl7GTWazaZ0b1XnUroZDY82YFtdi4Z2cGPmhN5VfAMtVqiiB29uj2bOeultJOQou92W
sYOktpmXztlT7Cvo9/JQRq1Q6d+Qx8ixWaU/GpnvHRTM2sbz3cf4OMSjcQVZYrZoQvck44GPRCt+
dAo2bEVdZq3uZuYp8PxWtO882t7EewjNkvjyWoS2dYAB8zqBs5qXOSzZzOyNedWoDtgVBCaCZUhF
tcRDkVlqKDe7S0cP9ZD7mIyJjLZTOYZ+ML4NTLLuw1v4hoPRogdEAfqAEhMS4W0tQZvLHBEScoJz
NY2OI7LOoen8yzB6zvFNEOrN/eQE2izxA7BZIV/3SSIa9yT62UJRLykceskwxcGln/rB8G4R4rn7
ZFLbAplYM1ozJ4gz45tiu2uSeZn3FDp6q5mmk3iCF60re774drtsX0K7a0yVFz4Nd592uGOmDz3I
i6XQJIcH5fajFo3w4WV4F3fUbXHuq/aQZv7oswC+jz7R9Mtx6LwsjfZ7N9hHbcPINiUoYlBlTnbY
OVSycoi4DCTc6JEbC+EoRXyIn2SfWO25qwO02lVZbk+BqQORm3orkMCv3lVtezu6f71egWQMb6Ip
dNHrBtVDVC+tDWa8Tm8LFvWVXwbDnLL7qi9iku2H0q6HHGVvwSzaesuFYRdIye2DWwxNn4aG7dhv
MrwLt1rmkV9VvF3bms4i0v5JDLV6tYt2sU905cspNrbXsmLD7rmS6sl1fHk7+VZ5263zcgpmIGi0
L+XVOqgkr5Itfh3JaoTXl/XXeh6LvK1kmRq/7/OgSMabeHe7syl6WOBeBj6/OjZ95os+Om/8yuuY
eezLpAd1QfdQfB2Tpr002mn31CQiOFfCHp6kDzaftkA0c2p5Q/lu03v8ubV6HBye6t5usVufbGwf
N/gJqzodLMu784HpzpiRyFcSUfEa8LBGr7R4yVcHqod5xpHOm9UVVX2WprdOztwtb+bVB3CgFOSz
0erGmyfTpEG3xVkRJUUVf6hXNzHXKBDU8+z6wjkNSi6MOXVXmXT1gvhbvAT4ZqzCmm66BDlC7juL
eK1Xr2FO6obbYF6cMSviavhsixlPFO7H2zl0jhVaBAeHWq7bjaadvbejZr0G/bZu6sar3Dym+n11
ts3r032PnYqxWVofNzlu30bL0plbO/vneRaDi6JAIh/c95mVW7WyTVFMTSqX+4bPJFTlWKa2I+sH
4+ASMYxU+HO81rsh46WVN3ihprMrlXsbtDieQHrfB5t5tlVRPPgO22ed1ZIDLdp1WmrcM3lgBu/k
R0v/ICt/+mikpiezobdLHBcNGogmi+oykKmlPP8zzPSQem7bXwaAgtS1u+W1dvrm9VyZBbPpspTv
xsqMHyYtOyxvWumscCYpUsH1wbjGYG5sPH1IrnW8PSbuXLVZv6/is+jknkLydO8JcBpTKVfnNea3
+Fq6U5ypyS5u/Lr3P89xqO8EeP8K7YDcHtBnSQtlIZUvVXkXxtZQp63TJJ8ni6Ymj+nPRBqIeXwM
t7A5U+jDMEvqPbpanKF6RKeDtmOrpncuHpDLqrRzEXINP09e8W5jTn63j90eX0bpm1SMXfnN8EAu
1RIpdaINNE/LlARI/f0RxrYpl9Su1vU6TBp5GelDnbSM5uRd0i/JFw/jw1sxFcMXpOv7N8UCz9do
cBFFCw+bQejmo8bzRX9ppcHWr3fWNDefdnvoL17rFCizgJMfKmP7nGWaimSLOgYPCprwKoKYyeTc
i0sTqOkd2i6P61/dG8fusciE3vwRXG58TPpqunJMmzx13bTflrMYTzqi5DIG42bsfXu5mZS/PfbI
z99Ocew/e81KcXBHsz74pmPzgGm9crxF3eop2lDSa28At4n7SxF2fs54jMIS2CO53q2puCuKanq9
u3H1LgY6+Tju8fKWA7+8YrNF90jeFzRMYX1ukyK4g+F2vGzpkjaPd/x1rPepP++lNTw2QPCPpcbr
nKEMsc/TJsaPclE+/o1g3++mxFe3CJUa0IFueFt6e9JRs3G1eVETXzlwftkqd/9VvJYeyPxkfbUK
5O72nQn8vU4y02l63TxSQNrxXRN4a7ScbNIp2yVtE1ncYagtH0FZ2gfLN/37dpk+8zMlQG/tvJ87
OhihIvGgE4H8MpBOfZMM0v2krEJtWVtt9j1SH/Wudtd1vFRu6/lZUjnRrV8MU3xO7K7HJVzFMofH
9fd0he/Ga4QRNBX7kqxp5xX9w2DB998aa4x41qG9LdPdmKwQPY6eHMwp/ti98rRvvY76pJZZqPHI
nqpETm9EWa/dCcrXVLdd3Qx1bk19gAixKBzrEq3zvL8xcT+p6nK0HnaejJpIiYanNmxlc9Mwk09t
5kR0LlnQqWK9By0Rc+Ypp3y7RftgsgHR/h1yvcLJN4cW8XZhEF/eBzXT30QdmeQShDROZY+s6Gpd
wugmQOnfi7e7Zwp3TQ2GzkTduBQ7+zr2YQQu42HJy6t1DtRTYpWNQIFTtsmUTrjP2iaz/EQ/1Xgm
wtSt/Pb1YBxrv2wMmuIwsbj23ZYI3WfuBI5/H7WU0xyB3J4PIFs3wl3qjMyZ5maxjJ7Fq9ZYYbJ7
PP7e1l0OTtM1h0pLukH3all8ES+YC0TY4m1S88B+iKE3M+UYtzv5jmqru6aCnU27Hpg32xc9Yvnp
DMRPpERz1dd+MJxKiML7pgYmzYWu9ZVXEnyXkyZQRUBiYnKum3KS0JEqiEzqbrDf4eIuD1aQ6Cjr
ROHPGGsaDygOzO69I63p65rQmuAkNu5lGAoH7yrOGuVmtHCVNWRw80jRNjxn4Rtj+UNEY6ZiHI8Z
lXThGwbbqnX9TBEa4/CET0SmAfYUnZyaDuM3lj5XD0Fw71hrqN5B5nbFlRhj/3O5rp/2vSrflZX8
VCYyENgdt+5pQ9txKuJiutgcHjZFIpygv6L9tjVu+zB5tTqv1ZRkcpS7TCNkmjLtuqB7mvo2zKcp
NKmKa5/6ui7d81IW+zkaDltLqYt7GMbYzhw9b2O+c9j4j8lceU8RAqIpr1ewHtYDCyZFD7d9dQbZ
vJZjP8enOYrKu3nohyc1zkt5Urpci2tQ4zJKrU4n190gxhzXSntuxiJ46vH7nJKlGm6bIrDu3Ub7
t66EtBzKGfI6YSzKXbdYP/cqUpddu26b2hGHcG4n6zifpBMOD+gHt+VaTluRJvNm62xsSpH54bzK
NHEwVGUDgkh1jdGm1CcDyP20F0R/FvDe40XArxE2MNlYtEwzPXDKc/jXYdPmtaC/4BKKN5w69VlF
SZipXlbvRV06n0DeMJY1TnIZ7KQ7RzISj5awp2ztwuqDjfUcgyWAKoPbOXIL8XHY3GVIA28YPnp2
Md0o1yt0WkxaxFkNOHpTSJebLm0Q7lqvGcOu90owltysm1M/N5UXfWqK0vnQON52t8Lc5oEch2sP
yPg94LvbHDVNy9QT9ngfFoVH30pxPBah/+w3xzBs+u44tbU7fxnW2KpPbVhDhAImD+F1H/T1kM1T
rRe4pn0ALIw24WReSx1JQ6sWwX0rZ/cLhvClSd2Wa0hFS8hD1vB7M+Av1kRlZHDdhcqN8qVCyDnR
a+G06uSw/EcytVVZIz3P/sTBu01pYsXbemUtTZgvUlhX9Ri47w7dwNnZ10altbHkqyDQ4otaY8nx
wOR5HlSBGmooAu8O6m66lQZRSTqVtDR3elbyS+Pi58xmYEbM22urn5fFsFfYlMxpSoJifl1hrdYU
Rm499WL1bgCpSyRTtd5p5pGNfvORkBbnLqqWW98wv6UW7ciSt8VoBSdr7ND82vsavF/mtv0YyVVn
zezNeWtbo/2gtsh5gl2LE1RB9HBpuGxVe9loqm6ofv120mNVCVq5hNYTFYc1PHjV5liZKg4lnuns
QJ4mueIwQJHCIsr8qquE36zncg2hUjryDRqaNNxejLFrhuWtdumpvb7YP/Sz6ptX7uBsc85UUTSU
tCQcdplNjipbc8EdKnr/Vag8sjcaZ6y9zy2yUavPVivWojhDmDXavm+qIRySjGlb+zJVmKxnlUUc
uIHJK/iruMVAzClv8n41RdfcmhgjpZ3NigFMPrYr6JCXamTeiTpPSo71h7Js/KHMN7YKNApuHK+f
0lWPQ7icS3q1/lpVChPkPM56DU4V+qeuPwUjXNsTBjW4l4tEKLX0+WR8yxaPQsmG9+BbyKWUQMkM
B4DFdOL2v3VWEtk8x1n0Jk9kpYMPASxT9fQC1lryIBxIjzigUdcptLwlMOGg7tELHDwI+3CPvpZ+
Yevwgq56Z7+NzpzUH5XcKqvChAvQZTHZFmILOSIox8t7VQEoxHcLDaV+sEViGz9T5azG5rLDbvG2
OPLEIL54serXLg/aRZn+1lPcHp68AZXFnCF6wXv6hBFT1uEpRKiK59pWajQDOiQSFfidnl+OZylj
QT22liFvUCHdu4i5aN1lQsU0SU0TFfuXeok6YyQo7AqSWmdIqlS7+aey137dnuSG4gY/4NQP8d1O
6xefCqsNC1iwtUikSh1/TPxTZHbPv8D7de9lrNp3FuqaJXUHzGepr9g7J9Qm3Ve7b+iyUL9XU3Ma
QuJZ8nVCp4JL3x0hH/dQme8qeyz+5foYoI69Ageu7wa78LLGDdW9cIzBwuh1iLXWBCJYWlhGE71F
1yMtXJR6vTR+qvut6S/TYqNi1LHcesw5a/NV7nbRUFp9DJUh56jKF283b3Dcb5oGwWpPdKBMiIWQ
QXCZQn/p8qKL9RfSKLSRqVNuo/MmbuomyAmR758nGwI7ncXKaNDv1so0MgmnOtFOTPOVwjC8fi0t
fSAudNRun+1NVZ7xaa2FdcbeHSPOcUc85wV21uHkY/28cuYh+tiure/M5Cy45ZABKNYBE2pk5ocu
Dm1ieuxALR+QPiCbSCeJyi5D0zGuNEiOi64IcOuhZPLuUn+kD7/XEG463bwmOmGcb2+sch6QsqsA
cwXaOtkh3XCNmvO4DxIoKWupLvgWeDGRLq3UQ1t3Ncp2FJkCMPuyI1hgbRTJa2VhVFbVLs+hI/Wj
4WXnhCHEyUmgrfhmIV4CPBSyvLMow/Mnhsuteh2Jbjq6Ls+tr+hgwpvJj4L6CyXSMxdv9cWbYfOK
e2SS5ddycnjy8bZr5GqFAhnZ91qnsra3d7EO1OM2tRW3gI0NdjjqBqrpESGhmyB54wAfRnkihu3a
AbSo8w1tzH82z8dHGDSzf9X7QiBPnIKnsSiH8+L29odwmp00idAhVlO7o9Cfd5NiOTIPeCrdOnfV
vGLqansE8km9Jut1SfwMZb7fkYOWxaa53KQ9pBFMw5nsI+OeYYjgWW0PY2Fert5K6bXwO9TpIiPk
hV45jzQF2KXvPSXVXUnwS5zbQSmjM0II+XbT0YLqeOm5S9QA0Sd/qsih6GjAiU05Ot459uM+pacm
MClsigQ5SjPWVc6BLlBeAZc87h0IQLqHUoanZkVgl3t2V5/2UfMzZYCcDtlIJ/PVk39tc9Wf3GLW
2bYE5mNEtVhv9dJPMifwIn4zB9Oi+LggGBkIalCgzh3uvbZwb+OqbSJkQgURK5NTJLeWVblfiJ9o
brQl50e0eiJDA+Z+xhWjeniGKDFZHcxiyqLNr02uNiPmtJ3ipTipqo5b6u/ktbfCcU1wXsIteG8R
haIfQK4aDzBg6EzaEhPwkQCH0hD74EwPAwoT+xRhomYoSFxcDWNhB0dMgajeNoGetoxzk66O/jyv
vGmMj+cWvtq8DRjac4fiIW4778OIyqJMV9V+9OZu+DAtRA0R5Av2iKISoRRefj9pp4+ltdklvZW2
MovO435S2HtmcJdPfams60mwqfOpbqJXi1qGmyUY8XpMUXMHLhBdWYUdvwcxriOWQRl+kS5ZONq3
5zfrZAiXmYfFzcQab0e3ZndIZ3ognmie46vZq/ow3xPiL9KuTvSlD9y1fYNbts4nwK18Yqn72egF
6kT74tySZ1GhDdycD1Vh9IekWJxUzsrGOhk0py5ui7+QFdu5H/jLu5h2/+L4hfOF1ILmg82PkLSh
eXBI/j/guYnvNST/Ra4Luy5WnxEoL49S2YZMi2WwHfbB/piU+OpZDX534Twgk0HFs5fHEeIUfvpu
G93pPwKwI481g8pINNue6soZ3ltx6z+JyiO5xwfVv5ayd6DCUFo2nvdsFOj/dGokeND0hQOq6dYc
DhwX0wcm2qGTbyZ/Hvzg1SKqkSo/x/GhTZpG/M+IBLQR3QjXAOE4vPINUhpz2Vy8Gm7uDbZeqmtb
VZ3YrxFym+VdUesteA56f2iuxBB3i58V/mQvVh6vAVk+FK8GNQucFvoIkTh1aOcI75ydtjG2TZ1N
TTjZ+loZDYqZhq4Ozr7fb/GnsO8Xisoom1a31LGgsoOcPg+dQm6ZsCwRtPhorJAj08ajqjJ4odk0
yNh98mbWSg7f7NEy0ZxDaCLUO81yM00FY1mXDWohWRaHiJw1SHzBpSSlxR5fr168MMLUng6n6f1A
yMgqcojYmLkPy1CtxYMQw6yGfN7Iw3NOtvTUPH5Rzb46JuW3yNpkG1FVnIC7rKgMVwU2SUHci2WO
O/HD0k7aS0UAUzT+R1nl7gZpXcQNX0MLH4X61lpmBuZbYeaiDTNtJ3G0nv9Az/1sEIH8w0Cd4JU9
EtGTEOHDz+RcbzNzCC2TZ1vgIvnBerthE0A/TV5Xovbc4pXEKbvzJ5dso6nFiJS28ChztniEsrwT
34mu31/Xz2wvl0VmXIhdlTB3yEO4op8vqw4M1iTCbL42gzyIlu5F+NE1SctCtAbosj8QlT9z8scn
YuPmaRzeYSjfI2Lgn5oMQMN4sfFLfOtePnF9UdV4QT9Bzc9R5StEcKutLSwftYCsfHkV/z/N4X9K
2v1HLiaSDLj8/ysF+Fecw/9pP2Mr+mf+w8tP/J2J6SYkObjY5VCkoKk5lsp/BzngKnEw5wcuGsUQ
Gc4/ghwwRCEnoD3xAudwfEIkH5GYwZHxYLMlMM9Dnbie/7/Kcvh5f71kOTjYk3CYcp+AaD8vK3as
6Tqo7m+VvUvxV9vthWfn20ZMAKDBIlzzXqCJXc6z8VpOxRlNyrMuWolyewiG0T1L6+jKUQyh38Io
W9g0jnHbVPrdZHeYY7PJl+EeUjsAj6yMFgqqDwxCMXsAySiSi4hKlLTjpS2t7V21KIZgKOQSu6bP
wMPYtis7iC/eXAInpBrcgi3XbtqKi3O/wjLVmZmrAtvoP17k44sG4J8hDr9Ic7A3ooQ5AkP5f3Dk
6/3ydAZ4K+jfPfiGyHhNWkxUES0SbYvnNfdJyVEOFerUfffXGE61eYsV6nDkumDm3A8hGaV+9/tL
+p6x+d9qBS4pihKH6FzSVUMPkc4vlxQJV+MjmsqvTmuj/5Q+p8TNjqKew6GywhpUv0PN4AgSdJjp
6OG1bMDFbYm7C7j8cMpFKrDETWuvs12d9qLcVb63mldxWpa92t9jEUJtj9y2IVlj3xuHb+sSfw5G
8OgZ3OwPte1nvQeaGR5yQNRvbONvD9kLPy/CompI62ra/pu9cWQ+AVtZw5uuLYb98fdP7xdhGx/k
EZDCkRJQQ2M+7+cPMm03Jnuoi694yAiMOsm2aHy01zY7XHuR8F9t83DkZJgwaHHGScRm6xskPBju
fn8lPx8gxy17hD94B5t/pDb+KnFxvNKQcifCr+scT+FDII2gi5gIRoy8m5IYseBPsRP/esikX8aU
Ei/iHOEp/HLvllNaIMKR99yqccKNMxryM3Faxfth8Pj93R2L8B+LlLujcPnY8FnwsfcvH5pb920j
68D9qp1yrv1vrgFVrK4LqVh35TAej7g1ocLE+vsP/vdNsobC4y8X+ca/tDw4YhChiGZ+phtR8Z6K
6EhRKlyr5un+/qN+CQY9XiEGT5c0Y7JNKd72Lw9UYOZqEMx0X+fWD7roisTI/l0LSTIiUccpVMpX
OtkLu7sb6qk/rBNrhXFdzJHEKdi1FMQCYrLoktdCoH70s2rt3fauWcspNldq8zFWX/3+ov/1YgK0
lGSfwEY6Nmm3v1QPJyEJD4t4/9ybZeIqMNM0ONNJC8aYNXTh4IGbkNT7J6Ov8+8XQ0ZAiKIL/Sym
2F/LVmE5tpZTYH1BLOi4ZMCBGyhwkliit8wcrwW8v2KbNNFnCH3Iy5zxgHjMDMueu76t8XMwe2Ac
3RcyhByRnL0+xP0cdMaf4/wPTyn+dXseWRfB922S4Ilwfn23QbnJqVPT8KWKsRCE8PJm2R9nOEIW
1W7s0qyXZJbYQLF91eymuWccsIDMjaFYJo1fmmcWYCf+Cglw4TfUhX+YRFaHJNi/Xgowuh2qS6CR
un2Yy4RpDq4hQh2QrvznC3k7RwQOx3DvOStvpOqKo0RbM6k0JndJvYxfM0sv+uNujhYC8HkveBau
EAfkbO/14eJw/TFgf48VUPijDH3RfQs35dROivZ83h/Z/knwoa97luaEF5trdKRIeiBCMKkPjK9S
9CcVahIc9sWL1rfrdBiZZ8G/wfkD2M4jqapw4J25lQZ3h34lEtcQJywPCRrC/CP3YLCFAEMzjLwI
W+YNgQGCNKc+1Ec1Gu4uvASrrpbXC2AQh5kZ9WFOnpEW44cWZcJH/+1e8PClEgxVGhk+eHA548cx
rgEdC38d6/vW72OmQWfW/W3FaKVuFKQXa0lDsPHo6rXGDx6v5BgQIFEQxUQ6CTg3u03G48KwNfi9
xJPx4wYCsXyPLImYUERu28XhvwvsnuU36/IoYj/MMQTRHXkjdSTJP83mw9j39+8Y5WhNJ69GAkPk
nYvjRadetQc8A+XVhw9Zy4riaLyBeyIu4niqftNsPLkglopv2Lalam76dlJYXZ0KkW538qyIrs3I
4hDZSRON3B6F/lguQ7JwanmYUVg0oghF96ZfgiECl/K8Y7lAPrrsqRWRGqumxOvDO/O0zS9k6HGK
6EzQZRN7N5ava/M8EuvHMxz0Kvh8QhlI/3qKW7SwIt8jFbfbdRH262Fz2fmPJcW5cLTH10xIt8hN
iESGeN1wp/UYItE7cMWRu1IFTtPufc9icYtj/U7e6HNrZeyNqAAT4D9+y2CGw7SmyLXin6xyiTi7
oAQWLslw9/zLTYnjWvwEzCHMQqhL82ziEe167mH58a/WMD6isERXx0ffVqx2Uz/Mx5D3oVY+/5Al
njnQBeEnxzMeIbbFX0pvRxbBHkfHmmtpAf0rsWjcvdAb4bFEj9Z6fSvjnr+PTtyygSOxUBtoHXe6
DMw/7HPiFfejeBwZmJ/F6B2O/grfMb90QuDLmwhm+kaQQOl469uobtBinqqBOA9ztWp7Ft39AS7z
C8dpJnY22+nFjlXt1aRS54TJ76Tt6LgFIcuF/ZZ0tTpZc4d4/aMyVW1FpDCCyXMAESvJbG9M6duQ
ejuxlCUhWPtjYCD23Syeiav3T0m3ISigUYBMfAiDYG2mtLKXdrSzECFO/Qo3c10A9wl1vOG+JgrI
AX6I5tW6rme7rQ20zbgMc6bbebY2WOE54hoLa+bdjH5cD8HnfsYTibgJnKYcnpJuLHy0G/OQ6DgL
yYzd2hOFmHJzWrxSANyVUg1J8rerh4ifpboqPKEQ3aZxQ5kNn/ctsLCSUGwN94ymodlrzO6Vrqry
rhkq5UQPi07mY/HU6ElZictmyJ/AMn6sS5t4GNZQQRZtU94O+7DztdFdFbatPcDt934ee55S3jW8
jz7VtuWo8QGsxaXkin5UvKWetGjOggELHr8rGe2jCioePivXrrH+rWd7kRvfyQgz8rVlKo661Nhr
p18nizg6Qsb6kvIkfR3y/JYKhuth5SmyFxx3mVlQ6zh5Zrjm7R/BJzEaB/8qbuedCycxA9N+5uPU
5foplxxHq5ERpzwolmTnxX57HLLLoo5wDx0G9UBINBnb1AcTV5b/StsGjzW8bRf4V5JoVW4pHqZh
QlHvHi0WXoHGPHfxyDTyYw6h6h8PB9uAN5DhA1UxErlXic2zrgme2NG38J97KPOx2Pri5KO7G59+
hHQMHP7mtJot4oojsVk8pYEsAja2UIA6xEnV6niCP5Z1V2/H14wP5OKSqKePxpmAk6Pcz0CQ+3vH
YlV6SJtwNW0pnWhpsz+tsmbn+nGBLyMlSSCSD25N2c3nBNDNSqPdMfja+q2dnuxOt29/CkwIe7k2
JL2vSj7/OzUBfVw9fqqpufv5/xWYAOjb2inM1TLcSi/YZJ/+OTyh5VhFJbKsTjbyjv4QnvBf7J3J
ctxItm1/5dmbIw19M3gTRB/sgxQlcgKjRAk94Ogd+Pq7nNR9JVIqyuqObw2yTJkUEQE43E+zz9q2
NxcmY92tNvcPbxAKGdxPCea4MOcIKsG/JykEDEvq7TYyl6k+e+UpuH1+MemIK7e/MhXizEQ8lXpu
7x27meJu+AeyAo00TwmNPBNF6Qd8BWbjjKoPwaQv6SqJoFpcv7IWqGC2Wb3ThTeLZvM7csHW7G65
7ytWdfgGvFAgnwJ1T9spXmSoj55w18H/hMKQORYs/cETtReqceVe3/0HLIbazwezXhsOY+K0gC3w
tfFla/Jlsuuf0bc+FzCGTlNc1oigpzpVB6oorVI4n6bZEcJei2hqaeTWuh4To7wysUC9TrwwTAWq
WJMBjYwIqoVBpI6VgI2El7vxVfjYcoDzOiToadgaSkdXEWaqzZERbbMZ9n+hvpiY/LOliRVwx0ma
kaPHoZrOKdNXTmwuu9nz+J3bwaFJtYTIGFXm4GXGwqedX9FdQ1Om7hen6pjG36G68vJgx6wytQYB
DJpt0uk6InsfmLQwd7bpEAVPOrEbgHPADOxlmQ/MczqLtAmI5prmk6NvkKi4i7VnfBfm1r4yybO1
QzmUOl+UuARWuZIht2pDLAuTM3pi+orQZJqDnhtET0+dnHACJJ+0BbzOtQdv8Wrm6G1HgeHoPkl+
mQLJsM10UP34/B2MA3aU3PYU5c3MjIBPVEWiM9qnoGUKJN29Qs5MmCbu14npy3rrmplXnWNrMnIs
9kKoWKoSngpZkqBXeDMsJd3e+DFo3ZwHaxSdNKtCzkPqBqEnIsm9DfTW4fazh6sBjfql3MOwiDql
fp5gtlFzH3MEhexobjCpT29YkUL0idjOgno3p+i0fhSDxo1lm8nUJxgAdLB8/vtOLA3UknAQ1kJE
6lUJv7Eue6VSzY1qVrIQjeHGdJXqxAEnp5SR86WgvZYzfKEeIwemYdyT/g39nd9Ekm9sZZUCGtF0
9WjqVXE+Tsn1gk4kCh7GHAx+vqeFHJfTwSYcHe8WBoL4VsYiVPGpbYcxTQ5Cr1RQofeZYg1O5qwS
eR/ll/ulpF5nyFU6ITzp11i2EKXEjIxwXI61aFtnr4u4G/3rpU/MOj13I9S77X5ebPUeWGg7+Kpj
TpB5V3S2ekUYzVEFL3it/EA00ix6yoyC1DhtDLXArAgEh7lrTA9p6JrpT3W6omKOOTTpmhOorixL
EAWC9VfxZu+q9QhjMyOy1rkD2Y9o8Sr+wL9XP01UQottKsBm+2sj4XNRvE88FRrmqNhVMG8J9Wlf
X4+8pz94VwxTzUNtO6aHS6aFrDF+pL0YpxigoM70eKsb1kKxSmdigmyLakqt3aIyg+qinIx47GHi
dj4Mf34BGup1MTGLkq4GbSy5VrUgs7rTX2i+WYcvSrYOxpqUL/aCtH0aW0bVy7DLmQxgc5nBxp7b
k9HnFepik3VWQvbjziLFIGPT0bbyQDo7ILwk8eQ5oy9aQANOJvkTUyozFCuJhiV/GhNDclOi18in
i/WRWKOr/ZZvm0oYAPPmZ0bsL1VAYCDjWCf7qmImO9BRkbOgntIYFfim4HDLNRhwHfOYRCSkI8gn
mX7e+y6dsDt3KSxQJNpkcP+1JFBJN8ZHKgprpaGSfLo6KpCPRc36iLoo5qn1JQVdZlF8DVuEtB2d
ihiFIQh4TgQh7AGL0ZDzHhpPVFOn8geWk4vfC7+ojRa1VQr2ZHcvPIcW5QYFDUt/z6RfQqoC5mH+
9vrqVSPIBUZCtDJgdAnMDLyZdT8yosLCYNiFjwn4/YWQj0/TVF3ptpQVqPd4URm3A0qWGzmhROUV
X6wpFheum9sEr/OUxTs4cnK4caW3MKCCkL/Y+51JTsHBptkgliyJSsjbumDb+TWB3bfsVVlTqUjU
rEx28dX0mjXKHIh/cmiyEceDCwL+wUUrNrE7b2ivqyzwNbEookV96BpwwowVR4M5lAh7fyHjtZE5
sNBJknRW/5RUFY80NQb10TFV4CTcyGSI+n6jycqGeCAojvCDy8yKgqyiNqyex6jhmwV4I31RNnYL
nYHEAtll1VJl6PPrzhHgFcA9LI1crcqPq0Z/qBn51AQDi4aOh0/9u3qgL1UbNiimrzLqVZ45Jhpu
NmsU8E0Bk2Ro+b5/ueT7qhplKtrejq3KeUwxvud9zcx9+ZCc+q8OyAd2+NelUfiaqux+/O1+vxQT
p0DBLF8R7az3pD5QbWIZqU58RWSs9qfata2RoJDNmr3r42u9VAN/rR/DLqNMbTmwJkFR/daVQreP
3w06ga/SKgcSGVr5JivR6e2E1xCuvsJMLGjo8qehsh2MBwba436xEr1J3k0VQnU2AlJetfe87sw/
ex8VyisVInlOx5nguc3Enz7++L/dKqB3OsgwQ7dIx833CDrZRmUfowR4YtoBeOSGA0qlhRyupFAf
X+q3NWdRGMbjkmF16qr++9lVwqgUeqArnoLEt4Z5H81ohu4hwqpXxI3i6a9L7n0LxeDB4JSGvR/d
BHCW7zrfLYQZP6Z+/wQESu1RCHOpIg6wgTggzECdWVEASY1gYubP32F56e0Vu13pHD7+7u9vM11T
SAgUaWmTOsZv7Mip6iWi39h6pCZB3jwnsFy++ZWn0vmPr/T+LpuOpfNtLagIHh2k98XrnMAQemVm
PA5MCucXvShUap5mtsUhn5gqavz4gm+b/TRNmF6n7EyTF4gkQZP66r8AGPrMX9hM5vaxRRTFCmLG
Sm1zbIoKdhu1DXwmpEzxnAQrL3cSTsaPP8CLnODXN5BQS2F9ATDhis5XN99+AkB7SWEIr3psEkhS
1YZe1pJvqHokQYboVYUtY5uo0Ni1bbV//yyKa06vSl6lC+4oOUyvN+cnD5rS/8xbXMM1JFtYXomJ
AHtqH/2i1aMcD1MjZ+Zbab/UYTnOQz3WMOV0XnyEXfTQs3XvDRSPDEiNU0r4RoluA5YjNftDSmsZ
X7CaqVQu042dCrs0VCFkMcp8hWcGdovYBmCIOuKFaFGhrrzXAn1HaM+uyVyrCpqYXXmJ+ExDBctR
huiKqk0HhojyWJzB3D6aIxRLiixVTln249v/24JTU8S6Mn8ITOv3pT2QWSSavswPNRQqYtYYqCQJ
R7D0KgL4WbL++JLqvX3zwNlqkULTo0EOhHzrXWeIRtms9O3TA5PCqsY4pIGbXzioX3LtUu9esJZ2
EQwkUdKAOUQRtijVp/n4Y7z/5ujHbZ2dE7ow//Bf2t+/rPzKbaqJZ5k85DXlz2Natn35ycwnJgHM
rv8L5+T9DqL4Fp5Fpci10FjazrtFjuAmThPRdY+jIv3cO5mnlkWWCRVZffy9sNh4c3/57TAoGC+F
oc65gJzp7QsVT7i0FNVofqq6XsdMbzBc+K4xZVQy3TSbOB1CGt4l/+dRsGFdSscK7knWnNYPBWVd
SjCkPKp/L5hlJQ41FlsF6mlMhgLLn7ciwUdRlbUk2DRlNOfWvISj76oycV7SHbkbNcPiy2kIqHDj
ijXVKTLGUu3XJAS5bA5oPtO52Fa1HtuvhjA4sMTf6z/oKd7db+4BSBUL3BMdSCgS7++BAzQhYJJE
fhpKEIUIumtaFTnuXzV1uo/vt/VuPatnyublIrhA38Y++m49T7WgpmrY0Z1v1y/XGhxKp/nYqFB/
YKtnC3rtvReIdLgLlaxUlfTnn9pxUBUClKHcXMf2VD2TXFBxgk2MdagoaDnom+W841VlTi8VZT7t
ZkR2vDu4GJAep2BcSEt+Nv7oFqkmklZkJu/O4usL/22sS/XAFyfjKtpLd9x7LU2MBhVQqIpKTkj7
8RWz541s/PW6b1NVWP7ZQuONZO1m9Dw496KIKocVzkY5UQL5+Jb6bx+f0rzRyddh1EAggqzy/vE1
fIPR17FcYQzE+wJ5x0EeTXt07+a+sKnxJ0x82DJgaATA1VrYUbUvzby4H+EaInFnOIKmaWwxJDT7
8HfB1X2KyF+760J2Y7JK/NHcp0F2U1ae/m0UdidCcI/JvKKX416NTlSfJXraXXAiJQvZejLma63L
rM8LfeTxGDHoCsW2CHR7TdUwv9cWrSc5KCRDU2D9r21OpXxrF5p14c3tyITS3GzoiRf3CT38Y1GY
dAky0YNWrfOJFl5vFI+oJpyzGTV9yrxMo+O5J1rvzuR8fhJJbTiMJbgJJYy463YM4VR3k2cN96ll
IeH0dc2ukIE64iEfgu650ARjfXbXERZFwz6TAzgGmhRihaGxK/GuC1ItBKg+HoHnbfqJeVXsy7Ls
8wAciqp5NOTrfmrruwWZ/prwU42saJq90l39xu5n/Su0pO7R8Bb7UzI4wyqBJ32WexhfIc9Ozz5e
EW83axYEbWU2M4dQQYFa3stpaso/XuPE1TPPSzKkDkh54xZ1n/HYdPfTxxd7+0K/XsxDKKeOeWK4
9xFJtNiEdm1QPbu6V6IRkvqdUQkTm7IyvxhtayD/i+vyhhYhhs4fX/u3lf/yNdHq0LJhE38vmxic
Lqhzuy2fm0o5lFmFwC2ltBhG/Msx8fKb/nUMv3xL2zTR5ygf198tWTDSy0107QkchJp3xjI5LsKa
hCddy6TwTpVZRqe0izQBpNMJxNqCqlvsUIO6a4k1ZhYi1nOvWrcNjhWjz584bzvipKHo78uS4AV7
vVKEZm/YN/qYVT/KwfLPK8qzN6M5m5+DjDw1xH5GF+AK4yurxF461LzSpXqT04szpoDCWhvMz1kd
96sM0tPWiB39CdG1hTlpYP0lFnonwuOWqDCAMIj7gu2I+T4kMDSvk7Y/L8/2oG4+Y1PJzqqzYi8X
+cT0DPJ+UOjrwYyh+zWt5u6x1nb+xiRy1AH95sl4SqyJm7VpIBwDtP32ADfyqKR9kDA9NoBvppzW
5qjmHS9Yd3RJgNDie7f3yl4y5KiJEjx2Xe5r6lYXIxOwjJ14sXa1GLG9Z3SJwlkbBY8lY2+M8uTa
RTpX3vnMFA0GhdYdNdDiClAy8/QujbF5tYCTv8AEuYtWngi8E2HjWG8Zufgxu1l6aXki3eVUivdp
XIur0umLfl1H3cDwRjJ80h0zv9EqBXhxpTFtLbOfGF3B0O1uKoIkWyWNzhdIJEghsLO0ALysycBR
cybe2o7mn6fJbH82FFMQtjkjGH9Z9urevb+3iLxJ912yWc9U798vUd9ASZjn7sFHYeT7kmmi7B63
u3le502lXxoTucRfrvjOU4VV5ZFmobpFjwRCC7na20syrF60JUfn90xk9pGymVaCx5i1MwqV2ZZG
RM9O78Tts7D04j6NZX+eYiZ4A/HG2n68u7ywwd5+faXt9tGsmd6f0H5T6eBRUVXfY0mDgby9jh7r
dmGQGaqnA80Gc59wKGsIOJiBJvM6S1xnnyCHXVMnCYIVDc8yWbe1630BpjOq0i8l9ErrkovcTbt9
Y1ny0h2S+BA7XmyHNXbo8Fdnw2R2SejlwIAH/t9Qcx2x07gtW2VqcYGz2MgPTJ6Gu24yX89y4jjL
oLhs44nTe1UbaX5e0uYlorTKMcZStwD0Mk4ZPVwo8ffA0ecNsUh325uyOiRlgStw68GSZSXSLlrh
+tRdW0Fa0XJFUSfBwdNX6t2iiFfM04mLSQRdB01KuOhqfWZAD4hTGNiAkmx+hjyUfmE+tP9hpyZz
z92YMSf48dP5ff9hpQSI5pCuYb3xW13PMmHKw/PPv4Mo1D0sKYPsKyqPGXY7j4ycynteukGNxWtf
5zFjZnF2R1H+7WO8VWq/LFgYnYTNFspVm9rA2wWLUqoru8Urvkeli2veywPB7jwpztOCUVt9AcUE
5nbYzi5GvQL76ocEfwvBOlmMu7/ckz+8sJhAUVtm60Br+V6xu5TDNNZMtHyPPd29bVyjO5mFpq09
CrtnnIvD5VA0/VHYVXkopGVc9JXHQeYVvbxOGTBHkFxBcE7B5fxAOd84od+k+e1fPuVvIQMzE8jn
ecXRTJNUvrtlI/5hZdDYw3eq3k38icjC6VZUEmEldPp4aboYc4RTt4Dh8lun/pEsIInCJTLFtLO8
urt3giI+170p/2TiUU6HhFNg22Ztwe2OM1zdG9D7rw/6f+cs7mbx/f/936fnMq3WaUeS8q3/dWqC
E95lzf/7QYvL79P/eQAi84e/9HPWAv9LFM4UwimHM/9OFeO/Zy2wPv7HY6FC0iKcILf9ZdjCdv5R
MmzyGZeaMy+x+f+HLWz9H2TpqghHwVsNejr/ybDF23CZKj2KfUqV5KXYZRGvvysBGKPb0I+KazJy
jdwyr2LnymoncYltxd9K6G9f0NdrURPWuRdsFpAi3+4WKPuZbfeN6uAxFHlJ5d64zAbqCTN34Lxp
lr8Jr9++ai/Xw2uFE5wZJdUkePfdWg2zUOHrXI/eCi6KOuZ9YSYXA52VbR0wUXPR4EjfwH4jNf+y
Hb2trbxcHLEuXps+T0+VTd9+2UbTO8lMRHVY2r5/LqlLuaCtRv98NhZ5ktESYAet/+0r/+EWO9wt
lVirtfa++UIpLmsn3ysPROfyOif7fWYQDXNhuqTyOtbn//iC7GawPllE1E4sCvBvv2amGIEm+vZ9
opEJk/L66znpA+Y+Le0RXaX78Mvr9YdyjfHbfUUDzdAA1eiAm2u+FAR+CcvmzmCbixSxr5ZNHg5u
xLDOQhI8MijN1r5ibNxg1rayDwByjVNDR/S+EhAVV4mbL5VCenmnfjZNAgyo6qDIRNKdGzKQX2bT
/8sqoDTNDfhXHMU6UH0Ak3cfYV3Ay26/vUFViYdbVvbDnqpfbN9ppelEZ11c6BgV1A1qvSY2piM0
M0RgYad81XkH55PGEPCeiorrHtMOR68S4slTbHWtGyauMgjFR5DaG0i6S/CLZXIcCR6hfSuj8xIx
fQmhxlkMMpAuziA3pZARZ3Pxt8KRxiWTwih/B09H6AU36WT0rryOGBYowqUda+erP1pixtdikSNO
8A125K3lyGuXXcJdA9vNg32mj9rnrEgCqMQttIZDG6EgrZginrW4Dk2YpMZ3VqnEqtpI00xe9HYw
2jeymqdzFHsF4CYnQ30e2DYe9GojaOeS91SOnbzWJk7lIG/gx8moEQ9DZoqHpdWtAwckUZ4cR/Hg
l9Z4rXcddo1Bo2Q+EhDGhsKU8wQZTJ7qtsDevhwj8WAlvTxpjWbcOf3gr9MldZ5wNTSrQzUH8sFl
IHpYuchWOu6sI0+DTdKGftXGj6HouCAY0ejeBIfSrgd/cp4KetSX/jJy31rbuBsCHhrW28H9BI3/
ycWN/pTGXbABt+ZY27lOe38VSPziCQgjeXpdq0kW4xCfWOk0XKS5pBiT1dR0yDjFgznje7ZjxqtY
aBgwfXsMvCgtDxDom5IcDBvZYdNDpPyc0HK6p9g0G+sesxm5Yf6AdTJWrv1Ud754oE/Ky9+UwXkw
twHO34BlQhsP8QyygdBWNgqCs5YZa3xNRC2vh2HGq3t0wZtDEenEg5QZ9g5xTWN7i+CUhwT6zAKi
kpH8TmioT+nE2HroxzXqcnX/bdk7oMV8G7iKBzXB1xLEB3hWXr78DPSFalXOesa+sSR7je96k3j9
uJ6YOdgyOMYCTtTrgbRvEnsAi1F0ZnQIgldjNwGbbaQfnKiYGi0aVVrD0AMKX88u+8btBJEbJQt5
K9xKZ1I/qtFVbyElzWFkafyFqkgN/YA+xBsldiRalRw7MHDabtbxo1ujMZujE7PhThEmILNEWCXI
rc9NuPQPODtMzyMEt3E1Zd2SXk+zZk6fO25/suuqatx1JpZ44aLndajByQXMBSUejy6H+9zdCStK
cOeYqYtWwYyZGprupJGHCYX5FsqKdekAnF2N47SP0KGc9XEt71xcVVaJiIAx4NZzacMMXDFea3zp
dLNZC4y1wn6WxpVG/fI0JU0Xh300Oo+9nQeM8FjdhFd1kMqz0dPGve3XcRkCgqkhXdXLpd8O8TOz
esalCzHgSGLrXqJxCiKKi/Z8blRTyQOXGpiPBQzdrhJL/xykjMCvgZKR8LG4g6Md4UG2BngEkZjh
yejeokyEI4Zmf8LBVkOb0lAZgbCXMSRo75vJYss2PItFB9GGJTXnTvecGPwhZF+WJ5UiS6gRVZLu
XS3ilF5aRjC6Xjw4dMDuyzkBxePFfumEzjjK0yKT6J66qnEpbEM8zJ2aCyecfkIFEd9njsuGWZv5
XQbR53PWYnuHqs/BLVGnZZjSZT34IgCnxdQL4J/Jr+9cCA9LmlVrCP52vDWs0neODvrT4PPSCeOx
bDVtOSwIov0DPTFULStDdHJrtfi8HV3Tsr4u8ei4G0hHx39RCNsuSw6xH9xRVGv+JyRC5LHeLYNN
ucfgyHRAAKqNa2tqjNWvSMLKrK4kqLFhi98CVqdv2YT2bDYQ05gT+8kmrBDafAXgyM8LTqz2E4ZU
ZvQ18Ke0DRtI+/V28esULWacDzaIklw7Z2Js4NaVkQgX+NNfZs+v9ymzLldewsxuxlu18wzR5qsZ
/McDvmrEIqqYfW5NqbbKjZHHip9Vu0nRu7FZ4IDWXrZ+Nx9mK/MvQUBzLKAUBFxQuN2zXmTBuRMh
pEWMhpw8bAZWCrIsRD1YMbKUhrhicoAi+CW9ZPbSxjXZ07OA3zMyB7dDmR+cdxOPZlXgywj1ZEDG
F3o+MsRUMNcTJnnFEpRWHJy7hQBiHZs5+z38tj3NBvbB0VF19QAxwjksS0yHgTgXYcZhUq4sz2ek
yeLyrjM1xQ69c7uvWy5Mu9x+WuaMDf9lC/QQELUbRN9q6VPbSa4xhge6AvTJPp+GQd/harSMIcrv
7rmymJxFQdly8tMLdp5estaOeftpXTpp0a6VICtZF5BwiRhm8prd68cy8K0udk2SEUlEmsbx5YH+
PWuKtt3Ty5bX/UjsWwKZ2RhLUc1HczLdCoLsXNryAvMi01pRWq0fJrMRyZXpjHzqtBR812lUUxoV
Q8beyYbo03FauFgBlVhzxU0OecLXR6y2qCC5xyEHVrpiDnG+jbTaeXATg411brXsnLk2CbH7jzRK
e7H8jn3RM26LWtOPYki0H33bBDBAp0CizCyIclJyrXtTTiwLv2g5yZugN+4sjAQFjkuSBksLbnHh
k6TqjkIEQcjm0FxeDcJ3ODBbtqrbSD1RBtV4TDQDgZd3PEYsvcgaehPNub52OqF4dr4T6UrDD9KE
+0RoeQveQhtuRybSXIH6M4kT/1Tk+I1xVIlgsWiTxM2cbpE0arEBfZFoOd7hgeyEDJ/IU6HjAZnq
dpQjzSxT+ik4JU4uLEjoYsQgnpnoR6r9ySW0qnGFPxku5NB615L+5rHIFnHB429Otc/OkqPy+iK1
ID1qQBcBByccPRim7mPTNWB0etoWvabD92jcdaVm43UvAEBHIRea/U3ss6VbbTxs6UUbQF8MyDuS
LmxNHTaM+8I4MViISJ8wpA2hN6WYfxGRoMzNf2Cz5Wz9sY72wVKXEIkaxBK8gdOKXeFH1TY/tGK+
CqQ9HVjXBAZDo18FvdCvnHIe16NertxuLvdycEDRg8u7le4wbzMO0XXGwCAUG/vKRntxIc2huuFp
cy5Xsjhy8pU7u8yp2WlWT9nQ3cRBcTHkoDYtbtWVPov4k9Dc4aGtTeuyHsusXlmxTgApm10RFHgt
jeCEjBORH7Qi2qw/HDdyjpYF7CmFjhRkIAoroEKRv9ey5bvTuDwQGw4J/vQOHGJsMPQCz5tZG8VK
4wTuwhnFMDtIorNDcF6xG/ZZfTY0pnYAcdqIiy4vWKRlwm6Tui0rchkjnn1E57K7nvMpQ7RH2L3+
OI1SWcebrMQnL6GjQ2EBHznKZW+zkgUId8CJJ/bCeQn6meUykYOyEj++zm/Zj+/7KDOoZZD22yRu
b68Dv7sfsroX+6KC7RgOnmfcNWpQLLRxFDhzFXDw+LIdfnzd31J/rgsh2nFdxawhU3x7XVLywspq
KfYyK9ynXkOvUnaykNvJww1yU5fVfHLdhL24GVWU+/HV3+rRyPn4X4DGDgWcy4d4r82au4zqCdjQ
PYaVJCDAc807X+26mdex2/ex4J86Sp8HS0XeiOjY3F8+wv9W7P5SsaPQokqq/75idygKcFpp92vF
7udf+lmx8z0KbB4dGKbSX0p2/L5XOooWGP9QJ0O6AachwN7Ppzj4E49im/wnaiCU+ZDTII/jVfiJ
R7HcfwKXVjS8FZRMge6a/0nFDu3R+5eX2rEVUHZBsuKgF1Iv3S8lkNRNaWMYXXKUjeGl5F81AXA2
u2ei8TS2HGnYaxtq363Im4b2DPO90UofOejWcYe9876lSRyt/Lpwj8vi2dGmGOsFRzhdlzfwHkt7
Z2TerN3kTJh8bjDwclajYNCRqVbOt3A0u/G8mBivCwscG0zaQPpik2YNLv6HrgcNEErXYTGW3g6r
rA42C4yHljmZTCYr5qQj0q1IjKHta83XIJu9bz7YvXUP/mwDSooiAvjiHhNs1J4Os8Not88DBFgM
wpXuxYRTFEn9cOoKU9t6iFsIoIpRB1VLQ+JWZNl8I9FfXraxScszQ6K98TCqSgjUFHe9cvQYOlsm
ToUjxp3iMBL61PM+ntzgaIo2PTMSfydTs9XI/9J661SOuwJ3T0jTT2ZurKUTNVu798zPRYDnRArj
4dYwpYu8136Mx1lcOfWMp/BiWdeDmbWHsZ5hqxvmdeKCUHMqFxfJOXVDidjv2vI0XO2q6eToKPSd
osDhUEgv+eZS9d/ZqIJWLRMaZ0ZZAgx2ZXMa8VnjtqO2vOiGzr5EoY6DRD8sw7k+bRqzxuIFWMCP
bHSD7Zjb87ZzUn8Vtx49ETf45kQRUi3Gq1auljDx3vGPxFk+B7aGnYZXVitROCCBKax4QPBus7az
ThYlsjOLaOeaOdrmRuR4YZiIbp3andZLLM/I6+a1M7RILczIDvF01m7oyJS3RZuXqyovukuTOHbV
c0dWUZDf4CICE1vmwyrljf2UwwoI7c6UlzN9pbWQjrkxENisNRT3a32M4jsmnumJErgQ42VVHfBr
s6yFJCaMM4uO8ZEMHkWLnK7iAZi4N1ZEqLOMgpNHrHzjm/B4MRnMolDEy3Jpq1ABxwCNRrWsd4s2
VCfdZEV77tCfm7ltnzGvGIrWsrcGy/6iltbyMLaAIjZa3ydHO0sMREV50YQqTFg3TMfvhiyKt1oz
nFGk7Y7U8C6YkiDXWtwKMQAhGqM2UttbFdNLYccaXDPQSkIeqVmppb/XMC2hQXby01nfRhDmRwJd
ZK5fZsbJr4ELXml9cW9QylkHhX0ymKzZVL741gnPOxDV3M8w/ELoFY8l6LGt0qHOqzLFWcKeGGpW
T2p+huAuwtroSdwG/bM9BLAL5yDai2nULiY/CDbRIGJmtu0HNsPuyhSl3GodbMoij53DDCH13mb+
dyU51BjdbXXarSavlXb0ogQFUmo+jF7UUGUs213hNeYh645Ln573JWy/psdtpMKyIEIJQm2ZEqVd
rkvqTJtpEumWwEdCVMy6kx9ZxQ1RenwYsdgL5yW3DtSG5Q0TsMuu6nNzLVDN7uiHuhd2Ox4xIZwO
cHujfA1vYbqZbGi50ET2GsPIl5NtJBUvGJbNk35bZRoC0nVjtGZ2jb+NVZ7jnXdZtv7XuiEkd90l
uMssoLa2WeWwPtLoerb89ArXvyecqu0D4EVYUKnx5IrRYTYagN9j1/KV9TIRa7xizLO4qMqtbjos
aT0u4GnYxaaAKHI9s+2GiWS/K5hertE2zI/LAE53jNifx4E1mM5yfqQORBG1TPXmtmnlbaW7TRgD
cL9iCtlGHhEUg7iOiTUOFsTgbidM2xMkOKMOlzWrD7CLCddTDN3WNZ44pz7zfohan1axKY3tlPjF
ANABl+hQc3uEncDUsSWy0xK2+qoeHKyT4ANr4LKTZeubPe4ylKx4xSsxFXK4TwrK8jZjn1WvyNMJ
GW6tNd9yDRE20+LZgB9tQlp5lbfUtkICM3+fD362nEsKlTeSA/vWaiNekXxi6R3afnS+dPjxHpOl
nLuwXyzna8/qT1eMtMfJytAizyY/Et6pKTSsYyJm4Y41/IdjM0PD7YOswqKi6Q+Aq+MrzGKLW19D
hEXJX/N2Sc785ipYpuRB+Ha3GYHb7o00Tp4I7HQMtfwWkms89zYe3a2Rhp4tPDdcJjrqo/B5P6xx
RAglF+1GsLX/gEWs4xxsm9NFjxMDogSz0VXjWTKSjiIspjowWJKgdxk+wx9unppWTx84k+MqnMrh
orOW8oqKXfBDZ7AIWGwRWSd0qONnGFTLZal7B1QaxXdG49xnB0P7NEwTcMbM7o8FiY6dHhh7BX0v
4aExLTOvqTv4JZ403EXUw4l/P4yzc04NpXiGIJ9Fx3IwEaq5Ip1uosZ27zlHgo0ATb4d5tmkbOkx
7bkyctx4D+Da5bccrYnNZhRH90FejdfSa0CUUoXTrtOMqmtoUgJ7yOYov0SMBvhgjHrbW5lBuRxI
8/Jnu2/yk5iq2wKFiLlKlyo65KSOa7yjeVmBtzdXS2M10aqbOh/fhC6NSqakAv1CMDXz4Ezz9B0X
n+bRR2S8rbQsAPweB3HAIPGsHVsjG68rh/0mpFGifbP1ubtCNk0ObGk+CGVGtNu9p2H5GsSywtJq
iYaDMHprWmdp1syAesvsM9gW2w792upPma0gwZq0mkuXCYsD71ya7QZTFzMjxRKZcp4EG8b49Yco
6CN7U6X4Uq7xJXd2Q2GnJ7jW+g4QsYf7y1DBYvftDEVukvmhg8R5ZeUmEqupb45G0rtrVwC/mEfY
yYyouEgTxAIgprU3jQ4Z181M7KCSKrBDoxM3xtD1685xgnOGBIYy9KK6X0svE4fOs9FTl8jBHvI2
670wjdEAr5iHrb/ksykq+gbBjGY7a5bvLgHUBaPayPZM9yszFsEnL6nKJ+wR6q2VKM4sW3zEyN+Y
M1M6BTk7IoZi+iGl8XoRLLb3OFJj2otEMEdnxg5NNlRj1lckMclZHxnWPfYL0Ilp10gbNRxpcVWb
WM3igNuBYB4weMmsZAaGHVFWl2ZiPEFCNqEdOzhSUFi+cYIesHUmTf1hYO4/2sT6NLCW9A5fscoz
noOGcaYNMpRYO/p1Fn1JQc18mpfe7aAyJfJs6IZ5ByZGS9ZLi+NH6Vn5IYvza30Z0i9N5V3CT1rX
/8XeeS3JbWzb9lfuD4CRABIu4sR9KJTpqvaGZJMviKaD9z6//owsSkdiU5sMve+XHbEldVcXTObK
teYcMymnkCHXbvbRbgKkClCwMrQYPXLWYpLd0y0CR+vWLagNfUhsh9alsEA5N8lPgacsdyPrJn5X
yZXgDyIPpLExDdtcQ7NPxQHpRnzT00zazZaKjhYU34OSzrBVjV3sRyHGK9SzO3fsyq9JZkHPxMPk
fUVO10EO6els5i6N2djxok+urCPE2sImY14Gqg/B1o7XibXkR3p2IKHRexPIkXZxJhHIyexLI4Kp
2nT6fxojKVha7Pm6jtrkfUG74SmFpX4QqWNwPojGq64hCocH3PUv84744lhQI2I2PfmqNPo9rZwR
7kUAaRr3Zf7c06IDxRLNqLOS1IG13DSWu2sjpS5zw2xOM9O1K75hQSRhmn6OFABHtIbDRdm0GGUD
uzq2RWxvcU++b1B1jSGmv46ZZ+vd4Qgwvpqk2n+Xj//3lPybUzJoQxNFyX8+JV+nTE3HLv37KfmP
H/rzlBy8QXPPCdQiA8j6S9QSOG+gQWqHg8c//PNwLN5g0NGdJg+9GGDyv+QsHI7RDyCk5D/AVUnO
7785HHP8/fFwDCOflpbE8Q+thQbXa31VZ7rIf6kRTsoRLNBo9rTQVWaRtVLYyOmDiEuPIB6nfkib
tbpRc6BD6EthhlUwZjtO1OIxG3K17jrepdvEHzKiNQwWb/D8hyUgIWGAQsYJNG3areMvPh7iKMAM
FuWzR2XkJJcTxpgrEdNe2NRWcQVPLr/jGOcfShEkh8iLvANnBjmEDB+jbT/m7tm/dsyl7V6P/Rpt
FTFyBgNUkHibkrC9S06w88ccmV3OGh/hh07GiWAZa7iYKtJj6lbSJtbZA8dRfMpzVb+Qu+pfUy2T
0dIt/rDjP4h3Mz3qfR4tkMlBOcQ70w0IOkyiWhzNNZIXeWcZn+eaPi3y3eAWXoJ/rKOyQwZqRW2Y
AEO/w580Hgbb7h4kRfQpy8ESMr2DuB3amfWV+EARZk7GoAcEEzUl+J+bGNTAZd8o43PlxlrN3dTW
DXKgigqtfeaA0z5kVIiHHMPFWwByw2MQDAtHPUN1n+Baxc+dkedBOJIDsnHdmJIUvz0BEH51LERO
G8TSy0PiBDklh1442vMaYsn5PQhAwgXHqvhU6PUm0CuPqdcgpVejFCuooWLnlHcDMXx6vWqiYgop
JPq9t+BC33aunteKdbQ67ieLXXBe97hKI79Nr4ZWD1B+Nb0o7CAW8kX12tnrZdTUC2qml9aljYqn
upLJ+3xIkxy7esOBaSXGGmuik5kEGOoFOzkv3qlex1u9oo/nxX08L/SrSVxMouikQiQSfTjrLaFQ
Nkh5kqXmb+l5z2g4UaQMuXt1aLKkuktdxNGyXb2ruKvV1lHruLGoDq+bgemLdd6eyGRlq6rP25aj
d7DovJkFYyw/tctMMEveOMST6H2vbkR5oRoVeyTgsS/WfoWcq3SC+zhak3Bm+2z0Ppqwobqdc5OS
ffK50vut0DvvfN6EJ70fS70zq/Mmnen9OtA7t3HexKPzhh7ovb09b/OJ3vGn8+Y/Iez5MAQFGoIY
rhWVUNV+7FYCOoJmNl/yzu7YxdeBNI4Z2OaFtPO533R+wGzS4jwRnAuR6FyUjLo+saE6XLYikZ9G
t6XJb0oe2tBjRHzRxJX/MdOVDhJzih6YD8ETsUGUQuu5LJLnEgmqR733dd2EHj9426Xyk6FrKpfe
wbU5uutXp+kouSCS1JVO1aqes3NRVpwLtErXasO5bFt1BefrWq48l3WDrvDY1qGpDd292aOt27Qp
73Ona8JVV4e+rhNLXTEqXTsSo5NuZRKMO6Ury7w2yWkTvReqc+HZ6Rq0PpejULq80NA1KhS39MHS
dWt9LmGNczkrdWVr6RpX6Wp3Ohe+4B8ogj1dD8cEct/k5yI50PVydy6dI11F5+eCuj0X10rX2dG5
5PZ19T2dC3Gpa/JWBJTnjq7Upa7Z63P53utKftU1fZarJCBdVJf6CIWmvaHrf1efBFp9JiD11Ly2
zweF4XxosB0YVGHAGes2oZ9BXhWdi62bzNExYaZjhbhIHglQb7Z+HsyXmFLSsCxyuP2Vd5LNiueg
qor7APfVFo9YdMxyls3alO2BOIunuHLGQ69zwFKcTtOGJKuOKXpOwCr0D+odsagvoAOXknan225r
wlKJIUwma1MIPwNdZhbTeCmL1q0wRaK0TN8rgw7BxepJosqefRJ4aSkmnW0OwzNKHELtgLIaG8ZP
7q2ZzdGeIKruwS0L8UDyXUy0IikNnp+r4xTP7xxiYB9aVIkPo4lGDKpbFr1jMFo9I32BvVx51XxK
1jh/5wMrZZGaea38tKnuAMyVd4GHMK2PS3CxaS5vgrjsw3pS5AU7HfmYJrtduJRrejNapC21PuG9
W5IsypssEPy5bk6XgEAwLgy+Ml71wOKwwtT6qjX589UyWNeOQ3wUeVRD9Cj9zj1maT4/xaPhU19O
UfLVVsZ6S8LgWB4Go62vVoRJN2QxNo/Q3bxjzBf/DMxMwU/qnMMytOMeiZj6SIm71CHQIHURQyba
ZygcNos5jDvwGuMuHxzWI8SB6tIalHdM0qQOyzm7a4ux2zitRaA1TBOJUTGPHmbK85oD1zVjG1Jz
Kk45vGtjfRcrLz3o6/kEtcqk361I5JQ0FTJsPrd5Pk32zrJm574IVPKFE3B6kS7GTDJAuzR8jhjW
06q89d7Ku/mALCE4Tpzk3nVRXd5NJsBQ3ieS86oRnB3dVmIw+zmeUgivK2DErMI3iFauvUc/w3wV
pyHxCIFn7iArCgL9Cnk7Yqu9Vl6wHHs2xnTTWPNNFfifRZ0Gn82eMJKN0zstgMki+SjmKD/2tdHg
8kkMnygzlhoev4RNWhY2Ii4hvH06ZfldFFCC0GOct/lguh+sOvVvLdLedgOdV/oYsNvAzcyzoyAl
WVb9iLTuGRZEHO2mhBHXZdsDIQQ65FsJXbA5+JAaUf4If7tv71x8+/0F047WoFFKmAIxiXQ2ryx3
SNnHArPi/LEOSdqEbPxc+dpS62PXxtsF6e/KSdX19g1zmBBaixuFWTzfKxP2zyWkmL68GAcjeXYa
20lf0NhXFYKUXDi7DlFRrMUkCzGm16a5LNNwqAHIiPHEI2sh46GJ7Br9CyeZD5S9y/s8N6rP2bRY
HGtH78ls4+bUtukTZ0h8JXZbHr22b0Jv5Hzv1cuDW6gPLIDYQZKXbHA/eOM8frJrndEjOwfRpzN+
8AIju0BHXNy1ZrGbZWlccXOsDbGb+bFC8PjNVg7ntqGhw7yZW1qQm3RMiwvYscM9rD6oAuMoE870
HYmGTz5HyF2pLHWfKOqdzVDPTmn8d8b4tRrSYf3t6Qki/K9PT58ZvbxUP56ezj/05+nJegMdB8+o
iZDZ0yeov2aM6PuFb0LQQUGEEu7vrgD/DSleWFsw3LjCPg+W/5gxSvONy0gQeRFS4++Hr///Pz+Y
4PtX//+HkIFXpygA6aYNbx79OpPMn+f27WKwrhY96T6gwxAlTHGZLhedM6WAmkTllhsEy2V9leUm
8QgpEKTj0qwJCxz8UtRJKdRwc4u+k52Q2aSrVqIHZCGzy1ijSehLVlq8VfVdf/jblf4HgfgrBTyC
cP5gn0sr0Ig7eJN+HI76kJ6KqFPdJdIOhM0JxDmHbegKJqG4mRF2/i4Exfa5V38XU/CRmDAReGPh
YMTLNfvxI420ALA11vGl6wZX9eAZWUhspVZgSbLzBDkURnuBrrH5EKB1a0lzl9TNF4iDqOYpF836
GHkpRb2aPK4Kq9eoDtaAJNuvEGnsoCUvjH1QGReWOagDHnakBJwuul1MtBEqyhy/N401wq5DZyGW
ESscYWSXhosqssBzsbVMRMlD1WgpHKkYKfrdaIp3nQdFZPtdpTCzyEG35Y7QHBv6cdxHvbFer9oa
0Zk2DwGEB+eFgBtEmNJAsqegAqPVq9FPeHG6crhMA2qls5icWhpRWpvE1pNpGsit0rP0oe+y9gNq
HOTI7syfsVipT8TzWe88zSi03Npqk9slKdFNnMWZhF/p2I7WSVjGWgIUn8iPN/tLq6Y1caM4cht7
11vd5tmyR4S8Q9fz/MW9Vk2DxJoeyIeyngxg7sv7xjcXXAmWTrRMezhhbCiwjo/AYLWsj6xoFULL
5qMLWKrxpqEziQI101k+y9ligHI0S+6iyUSHR3wlBkdJEB785rxyXrKZ1vi4uigNv2ukIbmV2zZ1
7xN35FeLvuUipXBh6bsD9+ufE3LCmwupRFnuuI7IUZzU5rKkRoG4dnGGVj2u6KhUOEEeMi9jRRTc
ibxt68nTytUAgxr3D73hJfsm+u+0GAzqfNTD10k8q3uDSGLC5P/KKGajModd3628hEWgbTGd680e
wW7g0fQ5e1s47Hsb6x8zi5Uz1i9xNjjXK4f6d8bkmTfz1DDCtvP4xcL7e1GjKCVrliTGF41XfI9V
NVuYHPHIJjOO/GmeUMLD3eWKE6eRIzgE8bvsoIAH7wy37Yd7K1Vo753J47Fh1srlndPS7W7FAH6E
SXZsVEVYjq1NstqKdobMlown0vo86wxwCvNGzt/WbB3R1zQSvnCzzCjUafE8EfyM74DWtvPSWxVD
5KQOzCdKAW5PkRutC8Nu5t7ms8JNAYKz+cCV4eXyMuLbDzlZ2tEeH1PTP59tAlRevAgGNeHC0ZKG
5yFHynfp4H5o0HD1YHKmrCa5PrKWO2k7rc43XJcruwIhtvHqkU9x8SyqjcnbFuy+C+1BDaA5HJ2u
vqyS3OqeiCk0jHcGUND2arA6o2PCFPCXFKvN8qswswZvUynK/IHMre6CrMOuDaMJRbOaJAuEIgqO
knsgnwuPxIzgLAhiLgQH+e4iKnyEUSj6eHtQkKD3PD/I0Hi5cbU2oiCM0y/F0El+y0KaYsFiXltP
6Qi5JfRNP3GfIf+P1m3GGIQYu9jM689nl1fi+khqib7jMwlty7CjR3GXfUQgDQFw45Co84V82CF/
37FCmPASIuV0DDYp4nyyn40I8lIR41ZBd8FvEjxOJ4bp3PMB1udNxmxwee9Da86/Oh6hpu0Gth0V
Zykmy7rFIMKLu7HGLHaPUWX5pbWpa1cIDoO2ohyHSgHsJY3FRzDN/SZNY/8G1Gnw7ExjFNbKfPSm
eEHWXdbj27VeDc4RfbLlwdDJ6XFytEm+39pRhNO3RIuNRtdcnW3ilc6FAXt7vqplRqLd+xiReL+X
NFHoJNbNGjH0bRjNYlB7hwbACu1SwHam0B8IKtlwoITmlcxMSs3cij8VfeR9XWI7IsGnq24HgtrH
uWvXXV50y71be/FHx56qXckmRTQ6cg2Ip9VHE4HdnhzKGI8+HZqNGLyO+Lw1Dz3EQTZa4ry4Tpu4
eGtlPT5i0Q97ACXLxpiWJdRcuh2FenOLCaW8cuQ07kY6Kvcs683HLBiTx0kWd7MnluzQoQjYt2sL
yzirK+gPdfoY927xdi5lH++7oaquOCGYWw7b6lQQ8rHHx8asu52RGxceLbx0susnNp3muXLKJtlm
qq/2firq9/ig9KUlkBDQqjNWoPTH5QbjiQ1bgnTbOPL6b5zEuy0h1/LCwqewnwvLukGq7aG8EU4F
932lHNj2nTVxEiHb0y/atQizwq6PXrJY+9gx77Oobg56BrtFPdQ8Z3nXzOxSE8nV4Iin3Vp64007
yOiRpF/3YMA03zuE14dGZuCuWleX+I1kaC9ZsNcLUVXrcTbM4KjwsezWviMPzZKoDscV60vVu09T
OqkvAl37JZIzddlVXVD8Ruz5SgxJfaLZiNguLSbQ9k8l0VrGzLC6QZ44tYoJfaxgi+GxZZ2rgHug
uXH5qdAoMSeDTs94SX9dk/1UTUrPoxnvmayGAS1+/Qf+TbBGcqLtZ0UTnZaBASwkoiIUMyegjaQl
gcQEZiOQyt/lyrzSuPK1gcEwB4COgmAOr+CPnyojBYBqRh7dFizjqUxZmZrBosj59bd7ZaE9fw46
WtyIlJsWw4wfP2dKanfs6WKdJJYIFnWBrrOuFlwqS8SK9e8/DGErxEMqdFp9ry6lySJixFShJ9hb
wa6uE3nsMQSGBgT63a8/6udKGq2Drz2W6HeZ5ryqpFvSTRpjEe7JdnHqVgiZDw5nfPQF8OF7r/6d
JvkfPg+msmXymAgXNNkrTTKwB9aNonROZx/P9z2wSnQEBsBu7TVKVy7vr7/jz88IBmiHr6kJ7xaS
yh/vHd14GnZFjj1hBFU8z4Z9XKDc/IZJ9I+fgo4/cF0TfujrmRQxtmQKpL17iocEE0laIQPXfpN/
/104UOIkdwNoWK/fMnewrdYx+C4BzLytm0LtsBb8uL/+lH+4S0z9bGH7nHY4br66Yjlyp7QhI+Nk
RbixmEtzT3Q0wrJbSX69GRrSzH9zpPt5+WBN52XmazH/4mN/vElkeJAGVrjyZNSR+2yOfnxSYqIU
GQu0peTqoF13e8Xi9euv+vOLjcg3gHXIt0Xt+/qrYvRLCSB0rFOuab0R2MfLQUvxVYZP5Ncf9Q9f
kYfDQ6zOm8aR3/rxK3rF3PFRpXVaugQLc4k2XmmjWyF5YHBd+ltEUulvrus/fT+XzUGPS133J57m
JFJafvBUToXbwq0v8cTTo04O7dmO9+sveNa8/81xwCqJP9xzpJQIlv2f3zS4H77gdT6hvgh86HGl
Q2CRJ4qHZlLkK+MkBta9UiZj4+FUQa3V30zttER7afSSwwW5LEVs9V/MpMe8BW4by5Sfu03xm8vy
8xMeCFofAEQQvNCgebWeV6kzg6rB+GGVNh+URmnzAb0m29WUEX6Jl4yy/jdX5+cVAiQLbxW7I4HC
UBl/vP9xQb+E1Bgecd+g1qXLzvlhWJbhi98x8jl7P3neMzyaLRSTD9Okzd02+cwPbW/hM2shQLV7
qqT0MKwmotdf/4H/dE1YKXlWTGbq4jXvSrR9oiaft/7sOM+Ek30k0sk+9YUeNc6t+F0b56dnE22s
fhto5fCIog/48YK0aa+L/lWdJhnJl15keJXXtuIxXbT17Nff7p8+TLtTBA0alprXu4CvkJjFbbCe
lnhZ7rIqD65E73PKYR7LKenXH/bTreabISOUQOp0LfYa8IlDyWyIxlhPeIs4WIJG48niReSU+OsP
sn6k8zhAU1ku9d7t8OWwEbx6kAsSzxYkkjMbeIeZSHCGG0OGbkP+Fgue6i+bTJv5ZCz9q2ROyoUT
iWfj9QRGeFzqdnkg24U+gQEy1w57AGAflIdtUAB3/kAMi23vRaG7H3ObcziegZ3dDYiyMQD++pv8
fH9AlwdIVtjX8HS/rkRSwh4ar+z7Ey1/InwYjVyWc0Lw9L/mWXDNGDdw4cA10NL7iRkyxMIaSHzr
Tp1w8QNb5Hcg2SYqyLBw6siKmNnffDm9e/1tYZRsa55v8erjJnHIu311lyoFs6/tHHly20V+dV1r
OnUyCt6dGyLkVtHVaVXhvK2XxfrNSofu4fWH83oRGk22GjQ7KiH7x9dMFiTNQbnPTibUrFJtRea7
eX9YgTjZ8OyXyP/kmnkut1Pdmz3jQPz9Fd7A9AJNOeA1y8rWB3F2SypmTQAwOxhFG4m0iFgxnHiA
SNweySS//84bVqPiN82pcxFgmtPqMt+u7x189O86/XgxM6R6QPOCXmzq1qbfWC4wCGdeaI31UU7f
L6dxxPC1nVAf+DFujGtHaFerQEh6P9NtuOncwTgsMnXv6tU01KHGO7Ghi00IvECGLhgoYuTDP++M
AerkrrkacumZoVZbzoS6teCaK5WeZj81QzkVDhLQ0UzaAG9ui7KN3rfAGvFiKxwIvDNmRvNobMzC
/DJ3fk5T3MAXAeyh0c1QJq3J3YQWJcbr26r6CGqCpnfQ4Y27+M6yqFrFv1Wt90fxOeXEi++DQtc1
bcO7llSYVb/RLU9nLNNxx8F97RAi4CE3lgc0u2WCcbEu6qs8bqfhvrcJZttajaetbmbZ5A+1EuwX
3TiYLa5OeA25sPyr2HXr/MFrzP7LQjSaosObOeqr7VajvO5a/CahNxfc5kWk/CBfHWjGzJ/72JgB
auHcyuTVxNUk+acZ6c2l+QCE0m1WPp4+CJ0rsntphPvlCmpnsiN+4wgKzPykZq33I9/XeFzwlCtw
JdpMHIhK0sJJChuqCzQuZ3gwMbv2WzIdaLxyXKy70Fy9GX8lVtPjNHVEq2/HAc6CapCjb12LJdxR
MU8QMAaOuJZH1N2VnCJzPiaLgbdyWMwpvfkOB/GbEZnMQoadtbHAS3cYR8TSgfHUtmk/hVJ4XSW+
i1gphaDzvQ6gZ8/Tp2Iw4xeETNI3wxNmr5eEuSxMsdVaL9+CQUUEWcIH+d6Cc4qRP8aGZ/gkM8t5
SaMEJFo/9uAtvr9WmGbgMeh3Blpr5r9UZ1/37Kzmk7mQandBt5fevAXzYww71+Epan2Xg1FSOFxX
q9c9czvTgMWUeIH9kjJB+D6aMX35Ejm2LiRiScHu1558Kc1Md2I72vMogTn+LKagA3/e/vC/0GRM
6F15V4hNR7XJRbpke9KiRH9ZkqOhDmVjMGkoVsmFlSTT2Hum/XF631ctf4gp6J3ssT/0DxURJMvH
cfFsY6LR4+T5g0+U3njtLIX55GZZJcOxi9L1KwwqHtnMby15v5LP5G6TldqYiDrQwyX7MWOApEZl
Shsc1ATTHDwZcrC99xTmOe5kpxt0ol2RTo2RoYBVJb15o3BIlu56uvVrAXpqTwdN+XQEkHefSiEW
Wm10yAcNklAjtLzvO/5/Vaa/m5NKDHd/2+l/iqm/RTZY/zgl/f4jf0xJmZG94TCETJJ5HqWMDnb4
w4lJWf5Gh437HEM5vf8wJXXfIOhjRsoMEOUhE9b/c2IyJQ04RNKNOm/xrgj+jdiU48CP2yfTWW2h
xoSod09Yma+q1LwfGUBh2LnL8sDOgtA2tea0i3P3NogaKe8lJ6v+UBeiIrEuAgjobOYpdcM8Yhtc
blrbNZuNlwOygpSRD/YDXhyjWN47gGNyIi1RXm+aqcovyC8V853OufxSCnTvIAH6Cktfh1WRsPDR
rOOEmayV+9OhDmS8K5M2O5XEXX2zIWLUGzQW/idDe50XlwO0l8uWTniMv4BMuwfHn6NDTKbk1kYP
iowlrVFA2u44blrYTgAIi6bj7bCl8dYTxid/cXG7O7xjFVHbN24ypcdUqexqybGiePBbPs7ZaO2k
QJKxIWk6eeiQKOHgrJf1bhoJ+N0iSymJn234xht/VINPlEPRsAUkaPEiZphTGoeElrifUmZGb/vJ
TbIbx1oMOkGNd5t2AsXrmi5JGhbuqvOtE7DAJKUFqI/EkK6PnjNAoOFOrM/RWsMDRQA/oriM4kcO
YxEBODUrSAiccjqmbpRcqnlZnlGGms7BlYs4xpU97cgc6KtQECZk7r3BTWjxMWJ6zw5MZGDcZn3o
e1N5MvpKQPzRwbhhGSn/1mc2CdG20Mq5TKVorbwFWx+s0r5npFJ464dhXFv3jm9iidDKidjE0Jcs
W8Qn9q4XnA5KI0u+YeKDjBKn+QW55eN+jm2mY206bsc68e5bpHkMjenDbOFs1/e5W3Ynkmlp5Zat
eW84wbyrphL6h8TTu+k6x/0CwBQTK9KCG8TUCs3pipMs38Rr4Jv7tjKaKxmLbL0W1Si85oQRcvab
MKAP5/s7LoQkA3tKquZO5m1SH1WVmpLRDDNgnYcNxwBLcA/FJMor3FNJBQuQvFDg0nJbMiuz78c+
5l4pc/IeQYmk89bT6ZjvgKx47cape1wwdCaiTScSPKj2suAxdC00lici8DrALE2cfClbdIT078kX
wxK6opmZHJhbYeQv9Q1Bm+kVhrTk0o2q+cUqE5zLOeyoHQlF5XpcCCpxwLlaFR6iwhXJxZoVmFLo
DRTmZjDXwSTPiVgpwNKlt6/iNGUzBd4HmHhKGOGQqMObHfke7qKGCLgtMZDjHDYYm6crpdKx3VqG
tMM64W5um6mctPTJ6AhzMKogvqMXn/Yhid6ld00FN98UvSMOXe6N2yS2Y8LZkJVNYebRwisML70x
6roAzx9FBWlaFHHdtiz8+dlK+/owIKCOT1L0QJCGTN2TFfyZQLCKd8pw6yX08Yc7N0Nt92o/tEkJ
FH9c6+cF3TdWp3VMnpQCZIu0oOmqA/+QxnVgVKilWYnWR9kGjMkJHaeFnoKkdw+FSKz56GWRfSQd
uvs2g3lyRvpidur05BZCDG8u5lxrG7poXbZ+Y+DQ7XtxraLMupfVzPsYyQC/Z4aXh0EgCrJ8bQly
WWz/lBnoILf+bCzL1bkh69l9RV0OSejg+1G/K8w4ginFvar3pEBlW0tJ+95oVjHtwa4XWzfIrMva
rbBn+RmTVYM0BKb1uv5qlEy3AkUA95lQ9OxT13rZSyYG4y1G7ulDL5apI5RSSt41uUxbYB/Ex5iu
MRy7OJYhOW1Zv3OBHXeX/AeSXHIDI/cGLi0WqI2LQwZrcG84Fr086TmN2BBjKfH5UvxSqLn45hy3
I3WA8f+EL7Wz612kk9zgqjslxTdxreSV+kxKnjhB2O+mWb2XPMLMBM+6haAS1oXrz9498bjmNh6i
dTtYSXv0UEwL4vIGa0dIID6BWs++cdnKm4JsXFBP2LvNa3D99bUalJsd/La2n9theab3MQWbwU05
KRCBXvhAyMQACWgiE+C6bEod1QZUF4cx/u2a/Su+Nxc6CLTEZLGq9aK0vYEMxVAaEeMQ5oGzfyP9
3Pze2PhvPfWbegrcvEkF9J9dO4/1OCT/b/uS18PL37Vnf/zgH1VVQFFFI891fCiy6Mv0oODPqkrI
N3SKmLv+6ez5y8LjvKH7DlTQ1h4dOrl/FVVo2QAx6O41wVCgXtx/U1TR+XhVVIE/dxijUfyZQFSY
wP/Yk2AGDZk1ao1LKc3pnvoPIQZCyWNZkPbkcV7bCjVZD3bhTge/lmpnYlw/ahXCNs7r+QkBdclS
w7tntgNGY3I+sKNzygir2sxCz60ShvjxQ9zYFzIfJpahrgilrN7NY343W3JA/hH7oZFDIsdOtIS8
PQGmAdz7vcx5d1tZWI9DhYATj5uW1cfljZyn/oliKNn03iC369gVX4RBteHbb3lhvtnN0GLRHO/X
YMVYWrvOoZ0Ra3NiG8uHNFPjqW789nL1EvxKS1vmh8lW6TYrqgWHqIuzP0ZUnmVqOEk4/XskWig1
8lq5AMqEoO1Bi2ozS8xDzO5hfXtLC1x/Jaz0QolO7EQjo7DhCHUlOv+CVfyhERiU7CEwr8kMv6yi
pdxmSzDiLWf5IEFq3bStD/kccG7IA1PvMHrQHowhVKczoee53YXcrPJSARrce47hUXFmpGXiGNqM
eND3i4Xq/2KpaECFTr/EyBXUY+tU7XZek3fBalrIAxz3CGN++lCZNcL3vg22glC/6AbDhCV2RZ2k
XRC2RmKKy6mKbPVYdXaej7uUlC7jc07umKc2NVGyaj/SbKL4qOoeuZVTQ3swcB3DpmL/e4BO6tPC
CoS2d7bYsbt1audDCb/2AqkYInpUJxV5X9K7XcpqeDC8gVzuNQVkTxSR6u0Jdk/qXHl5h8OJFNF8
Z+QK2vYwBZxOs1HmN2A9UANujXIh+PLAhqW67prpBl2MYpPXmsu04Rf1XhA201Kp6uRF1eB2H2or
ch461cwoSQJyAA1sZ5xmuwx/9pCXhwpyhBff2p5Wd+3pHgl6rlI13fAQ9ERJum9nMfbi0ZhWCvyd
EWQFrk0rxsRv7QXjwgV0H5nI2OKuZ1qqTbtv+6jCZlkI833tN8v9jAgany9Z8TpEx4SPlRsx5SiT
zSg0xh6cabpOxrskd9KcHdcrV/aLcrnOTSH8TRW0X+i86P5Za0UPzGewALCStM0my5vkXeRUeXlj
ZKtlhiU79a2aZhcwp+HNUThSSGK8QSVyWjMzuWAUbOxSBTQXQ9GI0jtKvBgfd4cAG0NRTi/AtUmC
k9a2iMv4toWGdutijNkNU9OE4OWq+cAfQMEhemdXxi0QgqpQF6RaNHfIHKt31EwEY3itKRWioawv
NgDbO1y5GV4R343AQWIW3zj9AIE9RnwGzBL95UaYlcctV3mJrd8e1g2JBNYuQTvzME5eddf6TXzw
WrlJzMm5DbIpfoqKZrnEDmeRnGDE6jsU+b8b4m82RJIetTr6P2+IN18/dS99/sNm+McP/bkZOm/Y
HSWkvr/U1n/fDJlAEvkGbf284/1pZ7XxrDK88aE66WGmHnb+qcMW/2rze60lBh8FYIqDEL0LPep+
jYvWCcDYXZLpyi5VMCX4N3FSuDlsiTZbqys0kXJtyiMj8eRrcvbM5No+4/gYaXptqSlKH3dNxZ9/
DQ/BvbW0+WY5+3AGbcmxzu4cy+6MPU3u8Vlq80539vFM2tITDH56Y2mbT352/NCQt3YNM9fQQXF6
M2hrEH3Odg+8osR7JKq7QVuIgrObiBNgDsZ5nk9a2jNuFiRHz6Kd0cWKxKCdTePvoUj88qGzBqK5
MS2Bq2DlNTEyua2jHoQ2N2mh297WhicFVXZnzPZw0hxFwqjsHB6euexkIj30enlbPI3ApV88r2wv
OApFkI0VjU+Apf0dNUvynq105DRVZxAO4snaB4mHqs9pkwdncbPdJEBa0Bpgm+2YJ1z5bf8WrCnN
RBNZUcfkgEmIsBv1VA1jzqls+ZQvSwdVcMp7ZmFTetWmFYt11Tj9R/TYM3Qb7uHbIs/KGx8//N4Y
EnXqSt1jTlYbie3ke7rP6jMHj4z0zgr67MIo4ts5z7K9ly35ViXU0T09rgsx1/PVklTjVWWY6U1i
lggjOSusj6u2PuXMAcIBy9gthLn+Aqhrde21Yr6SPRs/ZaD9kkmbc3NgDo9w1YslZASZ7yqrGdhg
Ess/lg02U3q0Yt+ankGEfFHdG4OwH4dVDh+QRhTfVqsXT9Y0pls3X6pbYu+NGzv1kMzh+uJawcNo
lyq4Q3lSPhPiM+1Nv6m21cAGPlc5w0HhGDvD7hbcnH1/C3eIOckyLGFgT3BnMh4cfeIMgs82BVEX
tp1JeWUoIEk6xC3fScq2+6qfBGbsoB1Qm5RqU4p62vvMpjdIpV4ma/Ivzzol2nbNjSQKPhwriJKG
pVD69vH/snde23EjWRb9IvSCN6+ZSE9vJb1gUaIE7wIeXz87UqouMskmp2Ze+6Frda2SCAIIhLn3
nH3G9agRy7TqWRzPOAWa2yys3K3aQ1YBGJNcUa1i/U/D+TK1koplywqUH5BAIKkEYUMSUT3Y2bhg
De8ORWw7zF9RtI9TeEIodhNflpq/xFquPooxGc9sL1VB2jbAvR246zRJ6v5ayPmfQhdLgXJcFahZ
3Hlmal26LBlCrh29XEViuZ7ocmVJj4tMd1xwNLn2WGVNRT6SK5J9XJyaoWChiuWaZcjVS5frmHVc
0tzj8hYclzqbmsUD00h1NcmVkIxyddV3OeRRuU7Ck2bJ7OTq6ch1VMgVNZdrq5CrrC3X2+y49PJt
j4/NcUEe5dqMXYtlupIr9izXbrCZ+b6bcVlRwJKLe6/UFsAWueZTMdC0pfJ7K5DCZXa0gg2CY5dB
tTTrOmAmiavZn/PyOTtuKzq5wzCOm434uPEgp155COHsSNa73JpkcpdiHDcs9OTYvEArZSNTyT2N
Lnc34rjRCStdsOvJfu+BiN84bonYvMsdkuirUFIuhuPuaTxupYLf+6rQyav2ppWO+20p9U/FfgaL
rszL1k3ysfJNGJLDrUjG0P1hhilR5svIydTBus/pJtTOyq0QZq0VgE7J8+QAK6OKwSsSLFwsbv/d
B3yyD6CDLXMg/vM+4DFufiB6jl/1Gv78rT8bAdf+FwlqOumBOqmoktL471Oxp/8LiiktBQ7AiEpx
a/19Knb+BbQCQKfGfyFu0ODX+GsnwLGYXQOQDNsEPPUPwRZc4oVKwIS3ZsF6VHUUHSgT6Nm/PhTr
mhqlnRXZh2OvUMh0D0tDDoMrlJ7d0fTy4gF96qP6fUFErTAm0QYQv3siS6Axr1c4p60D5hzX13qE
RbOHD8kGvrcN4X19knv7WuPx53omaVU0aGjrnLZSWOvnhgx78+CUkf2ExgqAd5Jod430nH18a68V
F8dL8ap51ygl6RCd7rEEWpewSzXzAPSARqyDY4KEaAwKVJhRMM5EszhpgrUp+JSH+85d/q68wBFD
DX1KhkUo008qqLtDQ+t8B7SPLQFzoesTVPaprEmj2XY6aBiBVFHow7nUeU7e4YidOXfG2DwMpc2F
nErQqR8SFU1T3zqUeAsjqaI9R1U6w5OI+uYLCRi0VkeOq0tVL7xPZI5vbx9rhUwZcslrR2Ij38wL
IThrAzytMDAP7jGqxWMu3aDe4B//t2sh4bEMpAhS/33SmyPFGKb6NJmUgkgE6BARPjttPt4ck0Q+
HlDyOf4t4ZEDirKXDGvmtEAb8FTSFaNqp8remQd25b8anXWp03PlE93Ye8+OSUg7XoxZ6uRlEoxp
Oq2emYc5bbD/uT0KQRfE5lKbUzr4H9/RScDc71siHklDHmTyCE/FxEAXtX7G3XNIyLBDzNFzTS1Q
kDDQSK++uqTLPJlSF37UIBL5Y+zCnmbAJ7/G2xFso8Wk/SU/VaKcTgZMoGt6ENipeRgpSe0N2knA
egLPPauUhhFaexjnSEenUzbNHUqp48drVeQ5/C9Umu+9AZOjmenJN83B8PXoTTPc33la8fHKBBdV
pW1x1KKZeK5XH9/4e5dClsXRElWYoZ+OKGTbohRObRxiuC43v81a9IWZ6l2bN/HxxV6vLUzf+FeR
n4LPQHz/dvhWUVtmHJeUfYAyal4gQK2+wpNF7TcQZtAX06eWCVm2fvHFyEsCgpJHXJDIvOBTRV+V
zoTaYmTeq1JFbroF3ROcp5jlafnILFneq2HN2F7dBJ9ZyCeVj9gOHEVqfOgw1lvYQWJ7nEEoPqIU
m2Z8g4uAPBlskFr52UOyjkvs3185AnQbzwGOEhl0ZcAMOnn9hTsm5pgbJqJXFZ6nZGGWkooZak3a
oQnLCWQmUyIRsDM5bE428FrLvhbQzqEY4n8ByZYHzL0BmePPMyD/5xEIhI0Xd5Y6JXzRka+KROtp
7w2odDS4jk915OLhlQJtNLDt81GW6GBYFH6Dymw36Bhq294pD25oGnuR8ACPLKarMM5QEiOq8B4Q
YeFJJqmp1rZaY/GjCY8RJEd4RGItMxGDiAq72KCtV9RcQxo8YAJPHKJdVeUETMrQootx+zakucN1
MjXiVUoHL7JCkJm9PzpQG2oD5FAIDT3UMXkshdf61ak4ae7JCp5uNE76VxCrUAHNENDjb9rk8crw
8tkSaoAE4eFo1YHpaj9BrWW0H6VSE4CI50ar5AqN8Pkpn1L9R0Uk4ravnfoGvV+OM8WpYRWHVHyZ
fyn4EwnMgqpNmob5t0a6ObruGUxYoFqjyRMNiHOaTIAVgWE0z6JpXV8pcRe3s87zwVzp3DRNOD/o
Pak0lWfKZrxNzpLG0f85zUMdzwGl89XcABBaupPwHrpq4k8pwYQx9+hvzxO0W0eXtNlh/v29ohas
1OsKYxwivjwSyZYOYks4ALjNgf6kDd8KOv3s7CO5MVESB6+0jG5SEx3ZXjnZ4ypTFWmQLTLU4DEY
HD8lGv3JsVOe5pQkVbvsSxciTa8GpIFUcr7EqluTJmWS1r7RR51fhqT6NF+JlnXRLiO+v1INsSfn
s6tdREouI0WsHIFYULpozJzJlIr0lO7zQisMxjIsRe+hUQN+rNsSqTUqxnhVadJc3lIwHdd0PNl0
ECaMGBJ6+AySJJvDpRajIuxLMkzsqPP0RXN0vKFyE7ehMevbGTGk4+uI674VfV/cuXM8nWc1GMqa
RD2N7nmmuWsNbNc+zmCehhldBHAz+BWHYi47X20C+y7L5nhYUNpD+0lLcrrAH6cecjMqCVtIiael
TQ3JxiKmfCrm6S71gIGgp6iqfapO0LMYkwgU6EVdt1VDLEsSdPnPEn3ZL9dExYnNp7vwjlbEaUwC
PP0pM9MS1zAAYxWG+KKVPkY7S0WzbqzJ/jHOjuYTM1KcIW8Q4RqHjTMsvA5WE5V2DJNlV15QLNYG
aDNN9C00FMJByE7Agh/Zmxr/4QFVglNvXHylXwmmadcc5edvdjiUe6jtIQ7HwZy/FVmdrkAjzEi2
e16jG1j9Ei518Y1YYaf1i17qKVXhbORmtJF9Isk4E7myqtkDksut5+sczK+cmPCblmpw06WNAoek
rnYJUvL1ZHXTzyAsh1WkxAotrTL/Eqc9nfEJLR2CjhTMAGBnGiVPdMP4PrB0+wEijGXXC22d43xN
hKtcmIDamf6NoCwXqTCAacvkhrJdpjWKMGuBOZ10CPnmq+GMna671Q3pr8UTNCzMo+sWfnPgm9KK
60pTLtx4CJ/SqKtLy26V2jWZYUWz7iwYKRhQfmQOGFQvIxEv9rRx3SiB4QNbgc5JC/6aVQlHMHLZ
6Mw26wFOuMobdUI9OcOhDiWp7aorEuEY1Aoy8vbpaHtS9IRPAqo9TvYSk2FysI/mP92Ao4HUmBzG
UKhMSOUs/eaIcSEz0TV6EPhYw5XbjZa6SuNoBPFS4r9Z5E6AKFa3lPJroJnjVTbWyvIYJtQ2Huux
21mkgWW6WR5+C1mpS1bNJo1bpqBj/tAxyU0ZOUeRnsYWzu5n7a6vTD79LsKIbo7wkraWllZfKxLh
+NUcRN7E8BQZaJ+aWOaeiB1Mt6Ba+eajpsq/WYCEq19T1Zuk2DkwPjOnbVZFYg4/SRCqw6WVKtYj
wh0YzpHXbLNyQpZWjGHcSZ109L3p26eksoyVZcZhuAwmpo8vGdx15Taeq9LYggZyL3pB6omd0V6L
hqHeJoo9rye3qO5neFTOwnPM4R7kbH5jh9UvPZu/jAQwXqYtMETmVel780S3MrtKf8ZxFz7PcTzc
hp3Dm+OLT1Y1cAdvYYbOAGAAjwN9zqxx9kgpmtIfh4x2Z0Pi2LRM0SkNW8Q16sGsy+kcOoFxY89j
jI6KqrK2sHkL6B2oJzzg3SZoAN5Udj4KYV7O8ZxdUnzrbvLYreECas0Ps1eyVdnOxvfSs3vcZNWs
L6xAJwmAkEfiV+EuLQYItzCo64zpwgssP8ldcz8N/fegUobboQ3Ta63r1HOi0q1v6WCn4VIQw8ha
KcVWNQXmC8+c4nMBLWGvEA1NZGQfNk96PFQHsLdY5mLql7TyFay/bQOrXGPKWytsZpGoaLqOvh4U
xLiOssK4s9OqgjFJ27WKo+AMCuJ83UZI3TxwY1+Jg6+7ldo0ZrxHQztaoL9VhRimYHDTC3tUh2rj
RV2z5ZSrnCXOXN7DadQ9uutdXix0xVHTbcfguRhY4X9pfd2cd1XVb0YWwkORNEQeVMBKiNvWOF6g
hK83ALI02AXsLJRl2Dv9daj3aISLJIDE2zDlfU3HFujllFlnY6wzjRoYRdpljZJy8PVc4OzPIBCf
t840W4vJqzUXhp5jMiFqw89St7tg7SHWR1kUmjvTrPUVaoN523ROfIPMur6HJ988uGifV/AF0uUM
YWOROra5MFEvaotxThzfqAYHYDk25Gc1b1mHWnXqlwENg8w3eVRX/cw5hUKsI5ZWGcSXuuqM96oY
lHMrbgm1iI3aWLsUzR16C4VFu9axhmWJTL3ZdIzdXyjBJNTEaH+AcHGeBxvxzlqtsCMvm0yz8LaX
GR2MAJPFL8Q+dewL6BPdFnbfLysawytsAkgEZpKR98YwohItS1rz0RjDwob9Jwh5K6BjZkOy0lU7
aH0vZM8eQrDA5R+VDkK0zmwBBHdkKyr08L9E9kR6oRPOyaUK5lRdBJSFLwsvy9pFgXbzOiLVfsma
3Wgm5N8jPn6MjjD546Hmv7XQT2uhVMlenP/eiK4f0XLGRfhKH4ThlL/zl+paioBwgzo29VBkODJE
+K+WqKbxn5yXIqC/WqIysBoV9F+6aoMT31+FUFWKrh1Zq5esOOjz/6RF+rrWQilStai1GNINRncU
BdPrQ3jQDRBVg3q46PJnKD+YH76/eBrvFD658ZdH0zcXOKm0itHI8mrkAm7CxEnnp/Oe4v4i9oDf
Pn98qeMx/sWRkjIY+nUU6oZB+5nO78mREjWdlllsk88TC7dPwtZUQS8F/c9z9bS2vjXHlkKEyrRV
N+rvnkOJF4gOBG7GOsyfSamQqpAQ9hsOs00gQnXDUtn9jNnwxvlZJ9AhmgeVlWaXNV4SiDuXIFSS
tzBT3011u6bAY+3JjdaukrpMYg4QQQ2aEjoOPhFDkGmh9+R8NAjXDa/1rSyvo/S2xurRCxJzC86e
Pr8EAXAxeXVYGTsdEn8V309j1h2yoO4kkGjKhjXE5MzIDw5iHJ/WK8GjWmoN35RSBbijQBhbUOQR
SwyApnFpKk41H5LWi5TbAWCFWawMogc8WthtmrRjIFm08R/b6X9njU9mDUaVjJH6zx0UGXS/fcqr
BrHVz5dzx5+/+WfucI6gb0rcpuyl/HvecAjHsgAsMOYkM+DYXPl74mBE06ZjP48Qg6/h74lDl0w7
/rhBERuOh2r8PyYOgrgp35AcDtGO34KT3+uJwySROYRXOsMfsUihmlGX63b48OKhvDN5vK7bgSaQ
F8E/Cn+B+3zj42/LXqlweM/bLsXGhmqdKA+nd5YESberjy+F0OXlPHW8FL0Zes3kXcn5+vX9lDk9
XeKj5+3Yx3x77JYPug4fSCvR/mXYire5JjBCzoRUeu5UfnL5k3mYjDuMNdSJHbjuvLTTCh67btca
bJ3deTHc6bnz6MaN//EdntQlf1/CYmmi4IYy4bTgRuFs6tRAqzmkDHdsZh8aTyuXHUXMhTrXPz++
GKfr0wcKCIFGHYpY9usmKtTXD9QIa9MevabZmoNR78M016pl6Sn5PrVoZ2e9eW8GQ51zbqhbdWEZ
hNJybvCgSOXYdKjHsYdbOLSQcJUmbrrrBuCtVGJ6j7hyOPTEojEBs+ettWpY5GCNBbIc5Ga58V1P
hg0d7fZXQSZajO5P1R+mxsPlOHld7kMcNS6iuvN8I0o5rarT+MA8LYiMDAdUcehU0LZTDb+zrSx8
JJCV7XkujGvO6NalxebzxpZmnd7ETwRyK7zo+kIj+pqjc+l2WC5gSa+x5cw7WvLnXaKgos/zXybW
oDI2f9ize90KnBiD6eb7Sh0JOcN84+WJvVI4iC1yI5lJOp3ZnNdWvBSF5ltNMvzkFIgmPYkuKYcq
fuyV2M31vFuhabEvxhExj6fYwV5H4u4oWrBPoph9ekN6Udz3GFEV726kr+tPWpJczF4d3rW2mS07
FyEO5w84XNCjxyHot3OcBasEctN50ViccLG/BDBWDlao2ulqEAoZWDT3Q29H074b1zGn+bvaAecR
UYVf6i4m0Qq6nwrykmS0dcEhzr43CUV+jNJeXKId5ue4mLDvSi3tDyw+3RZGJxokIfAEw16JDkFe
I/YkB22lF3W6BnHLEMlrGMNlOYFVK7QVmbv6moVQfTDL1CXspR6XShTr3deOfCcUK+qknQGUC+8I
2J45qlHyCuwchlVtN1RJYwmTUkg9DYJIXFdzIa5y0ZyRFW58rWe3vTM7I91Ktey5Nhr2Ni8YC7Bt
43XXFuOmyI2vUSqsaZHGXbhOHGPcmk3sXasw9TeKUYlzTC/lVZdNvg6i/ZyAyqpeknOsrsVArRnh
MkqdGAPOQhuteCM8szvEwZAuOOjgZQKaHwQGCICgdbSFp4Xfki6NYClbj2OPRSUPCK2thutqSu8T
jaByhULixswLjsMNQreYLiQlKOi9kPi0jW5ANQbZnW2nvCVtq2qQSFORwikbWuVlPrFuMKKBSFB4
DdVrI6inp4YthcT5oZcLE4UIdVvfkF4XYbriGMqBGt8qUTOOX6s1V0PHTPnJUxTMOjq8kYBA9f2o
uMFXN20L7EShtwmDYDiMCbFQjnT52J5C2jv1Vb79HDa3iSocDDraKiv1FoadDftZj7QzySZeB4nt
PZRlmaC8ikmZdaInQhkePY2MibBt1Rt8RepW741vDu9VcbPwNpW+HDRxfNvxvCdTmUT4ICVMylRa
n4yV1K9dYHn2nJwrTV1dJ2QL+Bizn+HXNe4CatLEETzsdwEc7ZWmqNfj1K1bWNZUU0hNLwHlk5jG
jw0Du74XmuLAmW4Gxa9qUa47vTSeOEmnWAore0WieV2Fxp1lVd6y0FJR7Aqnb646pTKemLfdXZwP
xkbVIsRaRy0s2dbYYcxqvggy6jILAw/efam52RkT0rzToBcuUEARxcvGEtOBQvk/IFquCkhqUKMz
0s02EQsAKRsqcvgwxPOf5Vpx0eTuLuv1+zSPsD0GGgkArkAQ7ypEZpClQYHfPQ+D9GdAAgMw8Gbl
dLr51Klm9T3pjP6SAljuLSzCmX2mBPsynhBqAcHJdnauiy1g5dQvh3n4gnHGIMlGcGWVjMoJkyEf
0EIpxuSXRxH6URtq9Y6YBPMaEoDtAwLU0FLnCaUKKzPYnkbtysaCzndij895PoEHr6WHADdhKpzk
wYossO9eXGbI3TKE2JTkliBmjsnM2aabHfMsM1DaYzCbe0R3rrLV2Nks69r54RB72S560nv9OrCS
nZu4zl3WjNoG3zh1fd2clk4/AWpITWIUbS/adjFdsZJkZeQOlnVpx1q6jZQw/OZKfXQ8bQil4/H3
0XivMXP5Os5btItTdmdAdFxyLquAgRC4hx/MXtmAGB7bKTW/jTgzL2xhz49NYfjgYId4kVRCXHRa
1a7TPGHkTU6C2SITi4wGlc/iSWZaoy+CWqRrOwyaHevjQMKfwZxRj6VjH1otn/TM17Om+72v+O8m
/5NNPgE7cpf4nzf5a2IG4+enl9v7P3/nL5GU+i9+BAJlRBzmn/zbP6UBUnPpJdrs44llgmMkDUJ/
tvgGRQPULhzW+QVU/aVISsfFrRtQdxi2Dj1Vz/onW/yTrjI5zwZHQzbFloQHqTJl6KW8JBxGdXar
stvqOpscVgDkAUt6l94Zi6JHp8MSxVlqd0zCXvRppjY3+HJDjgccWJHs1kNahGN3qlWoa+i8PfbL
zdDp/cqZSCDXYkbw5MT59sVr+fyY8ftSnqRoOVi53pxlhEGbCIBWuzE12ucYGYeF0UQVVket/mQT
/t5d8SgBjjtoiJCfvX6mszam1WSa7YYGW7wh/rT2BRzZZTs63Sdqj5MTzfGuDO7JZNsk/fQnJ7Sx
R1+dWTxAL8ab3U/6dSE6+xfTix8WgVx5Dan+wLFdqWb5ibzm5Dzz5+IGXX5GMT78k/tsx4htS9W2
G6U07YVMKl4VhH78IwGUxVUsSmq6gxbLplh2yvlqQtdo+jro5LbJFozNomkX1sg+dJVU+acKsJMj
zfFylJioy2mcvcGRvH55Vt3r9NTabhNOWEfZ9/10DP0XHbV8wUqFM5qS08cj8+1jtHQddBpHQ9yK
6umZLYjSZKDc3G1ghFnLAlAHL8v77PB5cjI83pduIsgk5B0xzmkR0CS0h2Zk2m2MuJ8wBSlnoULU
I60L8MZQPD6+p/ee4surnQwNah1hHcJv2bj9wGa8jBdhT7mrwtTERsprFyJNv398yVMw0/EOkaFC
ZJJVBNR5r9/cFJG7Nwx8dlpkm5dmaWYPoUr8qF3O7hbWPMyb+ob13V2S+EEHv1XdPX21bUfE06bv
vH6FqHlYiMGpfnDOUnYT/FI2TG19O4sJCktEJx4Q7ycT01EW+qKiKX9vg+xzVdpLJRP1ZMS5DXvt
suUzigfccABeB8z5tIX6FdtrFfeyBoTVLQff4OmtcCOY39QZiUOHX+ACQYmxpOfiXWougvKPH6n1
ztAEg6sZ8gu3+N/Jr5Z4mZ3OVtYSGROtdDKK/VhE47J2bYDoddjcj7GRLNXBBsBbZhjzxiIRZ0iR
2G0jPqIxLi3qZkOK51SoC0Or2G4WrkpfI5wOYaeLC92elR1IECqifdv6A9bvZd1KacgQKw9t75JM
ZMQ0A6lursHDQT82hIvuYNy3CAUWg8I2kLx2Ak0z6xCZ6X03uA0JSxNiEQPUsDCwYAxKe1kSNrmt
Y4yPEyktC7BktOaiSX2E/E0uXIHOJYAZlU7GTQtdm55pmG6BV7SX/ORi/fGjffuBAB1lY8BXzxoM
SfX1YB2b0OqsQb70JrqgsRctqT7vtHi8A/RRrbou1/7xJ8kVpSSLwgR1xVNepifGHlpy2m5EEOy0
xpQ8gB9eYZ4JA5hQ6tlfPr7Dt6ugK9seKAyk/pIy0es7bEJCM3k37SaZMoJuKX7s2K8aK1cXk//x
pd4OU3h9AGxUzD1SaHYyTEMSfZOhL1kF3d46kKOs7cqhcz55gO9eBe832xTDQOpz8spyNVDyduAB
KrZQ8fQSQLMlNtG9+vhmtNcCTrngcTdQIwnjwMP1RsiYxsjx7IqG5ThqpU8PPFkjogzxrRQlJ+bG
YUvBwFfxee6F+yj0cFOaafzZtGTwfl5PSy4WPsrMMPbwl5gn76+u8YnHvdNszDFzVqRwZOtgSNq1
ObRAdAxzNndaMXoroZY/s3JwbtJWVuQstT/P59nYW2n5GV1Wf/d3kigi2mmelAK+HlOhqShKEBnN
pgi7gmg8a+WpCC7moq0vggaKTIRg4WuGpGKZEe5wiVJoWtqxqvueW5S+U2Q/M/gLF2RUcPYdvlG1
05c1YuTbqehAerVg9iCVDftiyi4Utf2Mmvn+DXgQQQ229Hz/JwXTQBNePrkDD5Xs3lBg9+4GM7yP
mMWWFUgNP2g0laBdu2XFEvl+iuYnymx3jbC9XVcRcT66osc4W3rXJVkLdyirfs5WUOwNN/LWQxVO
Po44hbWizdYiRsjzyeiUr/3NsHhxBydfwdBm/MKAZjeTkoR7pIzFvrVGKkQKUVtgeRZGRzOOoiCQ
E3r3DWkSn3yHxrujAIIVCF6XyvXp5+5OzCXIqZpNAja+AmnsWt/ZVl05+PeAtKvPQF/GRzA90Y8G
eHzXh3T1dSn5g5eLrGOtq4hWBDVtWRscsP3rXbWMuOBmtChXQXLRfk6FpjFVOreEMK4s+Pw+lVWU
AwgMsSirZ4qlZdu5JDO0V29tMPXL0NS6ZTV41FI/fuZvt24uHgA6PewQUM2fti2QBjvgDZkQ6iR7
LOji9UnmK7MKvWpGF/Txxd6Ztm12JJw8CYNhr3hyomggexdSeLMhxfGXF7ugerQ+WRDD/plgW/6k
k5HElSQv2pQmltONfR2EHbhFi5EkwruU2swjVEhqYPnEacKa0oyCpa24+8DWok+G0Durr9TGQxg0
WJje4LEhEuC2TyDwdhClgta9GhHFqmbwC3HWd4689icL1HHv+eZeLapy0h0ANPTkq/F6pRnjmCHL
Mby46Qz2PRMauqmI+qXRzz/VIL+D6Tj64VSxuTFd7CagcnyV3crH7/fdwWTB93d0A4fH6bIcw320
op7vd3DJy1Qrh/jtKMA3Gpdo0aLk18eXe2fRRBMBhk5S1t9yaEEKpdIsyEsG/rUJ6RMs586NPjkj
vvt8wSwjb5CPF1/J64WBZKeQvEnUfJyRxdIFR0smJXQ5O3CV3dAA3Qh7s/OVqSYqLgjzJdWAbDX2
ClGq9mdz5NtDOeYvToUcymmLvWkzDlNnzVEDE9boW8ysoROuGzGfTz0BqWGuKcuqyanVYk1ZlMiA
PvmAtfe+YNn6w8fj0Ls9HWstphLdKFSxmYgy+V45AjXXQBLlZQOVIl8Mdmnby7LjB5Az7NE66+06
s+DYVoRoAgiTObvKNJz3kUGnSG/bjkJmiKT745Hxzq/pAnC3mWMc9jmnvi6CE+PJKux6g+xTrDsy
d1YILb0Ve/n4k0fyzqXoTUJRV5HUuIjFX4+OmKYJNXqn3gAYpUNHguv1XEQ5FDNb/T/cFntQGsy2
LKm9mdUAqqJed4k+tfRYXKPJsdfl5ASHREgA0b8Lje9UtN6ZxLgSZRG2iA5FrZMxr89BCD6NK8WG
GvoBUWW3IDt0ZGcNwI0xR1lH4twn08e7j5LztWnDGgJ5dLoDC9UCfYlVbyCS9LRuRjzUSY4WWkXH
8vH9Aap+u0Kw08DeKJERxlFV9bI46aY0cUJc9hvbFOAT7AnM8TKOzIFE5jzA5m4LZNg2e3LaAUY/
KGtOjt24muGm5te5a/FxxcjovR225OxBr3qE/wKIQOdXWWYjOA/q6ImcR+U8xVjUrMMoA5reIApF
gsstGUtM1q7r446AgToYKsRaS4m8TTwJZ16VpgBrB60YJGunY6IBXGjpa0D9o70ySLvRv3hor/Kf
pKKaaIMqTjDRAVS2EfgCC3x032SlNu2yguraJsIFb64UtdJAxo+jsiHkvG8urLzo3HMT7mFwbSN+
Ktb8u4I0aBBNOsIM8lKoASjJw3PXIYHbhypcJmi36+wW1z6tYlEoJWF6hMgsplDopAJH8UPeYGNb
jJ1ZJjuHjniFProEqD6lcAVWsGYKcZb0HCeRFdP5yja0ujyC1HsLNF3ZTwHWAAUoO3WHvNL9Krfk
5irGpvrkNAH1EgcMxXJ2zVLcVlZM2mvZNsl0hUukvy1iU8AjUFCs36hlDnunm/qw27GJpW/mkhi/
NosQ+qBZhTOi/CbxNoVgiVoRYE35T1V0cDZ1Y7n3SVRL3EFegls3ox6zQ1VZ29ztrqnzrrveqh6D
Ss++ZOS63bSFPeAoQsSt4C5aGbV3Sdd2XdTNeoyc4iZwKKKaEcwl+Iwb3UzJbfXSHPJfvzeI7Fjq
VfOUpIhWrU4P/C4ZjTWJB88mmWIr6frid8AkYDeDuvLAaW8IIi8X7JghGAIwPDRmNX53WswhJmlG
BAv3T3NtW9veGJFVj9MCfvEDdJWVTazblYUeYaWpRXyVGgO8bIjSBzfPonNj4H1wWiDLFkvOOBvW
xlK065iUeWgZY7ALgCMsxyTt2FQQYp2xSvhN48zXkJ92dQuuK54ni3+klynVJTwQYg+hQ/dnNa1X
I/Gvi4S0w2WK3+UwGJEf82avAte8yZVoXGmDG63nWczLSWk7TAqTvpnZut4EYVZ9K9xGPSsih059
W9v+qLbil63UxVJpeyKkKVhvnLK0dgIhyMIBobUz1FjfNZMDQGHs9zoOg9iqtHVqTV9ytau/FHGw
RdNzG3fTFxKCCuwiNEPRJH/JbSUUfIG0OPvOKdZQEwJ/thTMKW6wbwID+kZYuis1Iao9G2qoRYmH
wIhzw00slP6qDoV70xDjvBiM5qydAriYI7GJYNd/NjWgaddoiSOG+ELah9v/MpsWQFk8EGfup6iI
ZkJky7qYDY7muipIUSMxuL2DWgVhQ2fwPOaItEbfAVWespgySRBiPuBFmdMLYrxwXcpcM4h/O7UL
p5VStuXa1mb3wP8pVyMfxCrAfz81Z0gzwqH5OkXCacj11QNzAHrS6OIrptM1VjcXZYDO77xxFL38
MWLKqLZGmumdn7vC6RcTqebYmhS7TVBeuyJcZFNv4WEkvxyjXVnHWyF4UniWisyf3by/i6jqX+kZ
hsIABUC8GxJbrCwvri+0QXcx80FZhLxGMS6KG/W7Ld1TC+q71cqZ1exApr340TZuaK+yiUzoZLBi
4wzvtH1rgmz/5VHcJ8CRcFQO30Gv+oQVjPf0mfJfooKDg92r0b4VIyFlHNEAQ2GM+xp7SNKbqJk2
LTuWO3cyk699w88hoBErSavX+5lIxeWR4w0doHmkCkcbJAF6sm57bM2LiDToL1Ho1j/qCgwbuX31
F6fW420igjbb4UBJ1zFGn0ewIRPnw3KAkh7g7fK7ueHjyHTFWqaqmfqhbVtLogqNXVdbqY81RV9x
KvXEOuXclKPXxmuyaOOwf6iDgWw4F/iku/DCISBUUUWAtMxpDe6qIsrkGFSGfegl0a2awz4rHYHy
peFxKg8FpAVU4lXqRQTCzvyqdto/9PrYDTTvg/ASx4Trl2o1n5et9O1FZNNURoVVVI3t277VLYhv
k1PvbQAsl8nQVN8o3ekrCmfWZSj4VFcFsZnruRvT9VCOZr5xHHSyWVZJNR6d90s+opqPirdLEb7e
p7lnXkIQrr6LPhTX5iy0uybmecdJOm3mqZg2bsRDxbw/HRSG5nVlieq7JU+Yy8Keq95P6yTe8GTj
rTXm/FgFXIImzHpfaQTQzn1TfW+nSnyhwa6TLenUP0oJ84c5HvFY6yIP9iHViE3ntc2zNzTWpUma
+bDoSy+8HGML/+NgoyN4nhPDdEdW4MEwIc8MWjCdASrUK3/wkhA5kVvXC6jPScEM1eGdqEtVu6sw
Tl3GOA3uKyDGF3jXSrxjduq3ZFJGWDHmQFv0LptIqzN0lCluvZ+EGvih0vUHkXPzpodDwVUS5sUw
iLdGxd+uVCW87LzahkjjWuzACyBXl6ZRZzuRYnhdtB5FHB9KVbAHPMsfCHoCgMJwyFoS/qqyW8x8
55SxiuZxmihag1PGqx+agKaCKdtpRNcxyruo6ui56NZtnEc96inCt5cQAOt9ZqnpjduK6slIIvtW
8eY6w4Q2RJeTnSNza8xCfMlq3MSYp7sHtRpT0kB53boI3LP/Ye9MluNGuiz9Km21RxpmB9qqeoGY
gwySwUkSNzBRojA7BsfgwNP3F8qsaiWVLdnfva2NzDJNIojJcf3ec77j5VZ835LzcLAKY96GGL/t
iCIjvXUVVy3I8cGaiTF/M5c62xna9WA2dkF8b1cgHFozlde+M/ET66W4p2TXTyCE1ddlGl3juCBR
TjfwA+dvoqHNt4pRpl0o0ZYiEBlZNUmGBgEVrOQLxIAMMdy9m7LlippBtfOhGtFWcO48SQuYWJZe
3+VJY81Kb+FL1YD0rKW+M5ycJi4ia+61qQJw1r5TB3IVoiiEkcieaTSrfNVWU/vNqHPr2U0wm46T
st78MR8QF9m6BTNYLt9qnGzoum1JRmSXe8ObDZsbfibksb3RNFwWny+52plTAQuS/CQcrnZp3Ic9
+caZ8Mc3zOvtuY8ljf/Wbm76cW4+YZFsz1YfJLfIjYgoCjGMZlieDqxjBKjOAe+3NJL+Q5tl0oSR
FCjW+LqovENNEtQ3KmpxYk8cb5shRm+IlkDQN+0d+OSxE7wshNLdxNWFnVSW495FMHdo+WxeO52L
Odsjn/jOd1WzbaSrnrpmBC29pN/6pOZ/qaZp1vHYOK9emHhkdOK8a9y5XuPekytvxBdtcb0iJpru
uug73sPeqfAzVyRCUIRMpKHm8bNdXtDARv3Qh+5pFCyJ2jQz9jJdt56GML9p6f+YQzoe86ohGkFB
iTcnqLqpIFLZB/a5I2fDOGnfaG7l7MUPfmzXh1Aj1GPRBXdlSYaNLbyWAwah4zjP5Trj3TyZydRd
y0TIY5KSc0mpTwkYMv6jhfo59MACF0JezMOj83Us3WObmRZLWsAfjmo30kfpqnsgCzjcP1Bvm1BD
df0aTpc5U91vUzrLhzauBdOylIKUSNv5Q0CkyT2JXtNW6GbvgxBYh0Q6ow1s630wLZ/p/1Wfikos
gm8OFwkaNuoznx0ORkbsxMBLC3UoDNOJxtgAOl+5zZbcaQZf1tCsqVCnO+jB5g4OjHoYWlxlzhQm
94PiINgfxd1gguuiMT3jniYlKiS/4xkgVrnPMvGsc7OCZpXgBjUp5UhnnfE3ZVN6ygIaN7VlH2CJ
Wq+pGU/bMTDMXQ8LHbYAtO5p5GVUgBEiMqnDTUKs5xXFhfshdz30Vbre8jqxANck10SJ34a7sAzD
b2Mx2B807vibsAovXNbKfWxSnRNqG7pbj7XrqopV+WxBlzjPI3fJG5Vut4K6MOr6LtnAYG7eFkZN
9qpJ+uymhUD2kEnk3JGhJfKrppnTiExjtdINFGYGCFG49PZqED4FPTDrz/msiyP53/seNl4eea5x
XaNxOy+m/aEHZUoWcbvNLuE1ETM2CjKMzJXrXXh1NWWGO24LlsAcelaf3Qdmh66X+M4rhelkFZvp
JkU7F0F+9W6rxqvrVTqFFkOLcjnMcz2eLjpjSY1mFLxwvjw2ic5vy5x8q6jNF9JXug7SWlQaOa8R
M7TxhO02/1jZrr8jmgn6Z6exobak4QFyzQx9F8ZOez3TzGZXJ0asxUOXF8eQcL57TxBqikN+H494
3gNVnEru8pWSk2DVx7Y6M+CJ5KT6a/q+MymB+Z4I8BD7rxOxz/ncka2+qlKP/JnGv8DWyXqJxrG3
PurZ7Q61LV6txX+Lu7p9oWItXyDqYF1WihiE0jO2DkrVTS+G6jz7VCwl9AOG3mS/rBIdp1DyTb0f
bYwvR8OpJ2KUhKnEXhSgBVk0/PrWmBJwAxLB9i3tmxpNI3nJNWMADOw8o+SsVYQ4nO02wJpMAGYZ
ZTMLaJ5O/ddS2earVHn6tY3NBbQjEJrbFhXA0YNF/zDD35k+dlQ83LeMTQ78cAR4o0GwVdlA9liI
KPrE15Le2VJessESGpIHVOz2I/UxO1NEli5CeK2+ViCnvxJWQxNBzUP1rXAlXYULcPLFVLn1inGV
L33tEuyuMPO9wKdgE+7GmQHmdonVV8NrDETSyxiKzVJ48qFsMcRHKtVTvRVJP9ZbN5zoaAw65fFI
7YECBwZs/ZD6Q+FRY9bxC/Au/k3YaFztIg8Lb+0C0W8w6899sR4Vv+Um95BLrSUqLcEmRnPQHO+Q
usoWRI9rZcoR3ewEZTfZUrzykxeDuICDO9F+XKduOBs7Y76UAD0TUkK4NeiFPDVddLtdRdFaxj53
yVj41K1KPcQvYzcSZQA+I9RAAr3qmz0MHHVoHXg0E062lz8vpjcixY0cxpPZalEkvq+Eteg6Yj9R
7/C7JSvnovAmO+LSFMArIx889GNyV2Y57R6UBbgLZKGLfWPRBbpFcK6tbe8t3tUMJ/jBm1BUcAuZ
t66muOX8CuHRD+kas8ivFCqGcVfNCD9O4diP30ZkyLxKttekJ9+w0sdiHu2dHKT8UFmhOBcibMFF
N4H5OKWNmveaNnx86w6c9N4egRPSanf5rTNJlgntLC0N5n9IX1fcE95dev/pvKYvw1UcjZ6/v0hb
fc3YvWQRv2x4PatRvWW5ystdOHRwJIawyvIdia+2XpUm7w+wKs8EVEj/7zhlyjAhKPdUdF7qNvmB
CASaKB2zlZzFJYPNwDvFhpuPMN8vEuJN4oFkMCCrsheNGzsdHXPVXkrIkqjwPirRBj5ZuWlv4I6Y
R2bSZMBWg3OukkBfo2XKnpclnZ5ggo9/jsH+W4P6Gw2qgwCUNux/tYZ/sqc+vkmaEert7UcV6l//
6j9VqNYfPl/IC3Hru8z0LwVqaILyvYwJEGEyVefP/6NA9f/wA9RotJdNVGnWZdauLrD8//g3x/2D
+fslLAg9JYN4pi3/69+/6P+ZvNV/ta3Vu//+H3Ko7upM9uo//s0V79q8SEARiCB2ZbQJPA9h69/b
82LuHIPUaXkwwMNazY5CMMnHTWxME2tKhUAJprywp+veRlNeUeSvLaWRixNhvm8rAtFjL1bV5qKn
uFFYkh51YRYb5v5ynSQ+89ipI4wi8fVHuG1tu55ZUj6HibQOdmNijQnxiLdp4m6wX38dZNMfKDSS
nYcneA1wt8WRXqSrZUEVOI/QfTC0uXXEt4BqJG0rnPEBX5mcdBC3aUkh61R1gFGxbNl5bwclxBpw
hbka8yy5tdhA7eWclY92Csc1GpULNxeBZf2RGq7d2aOxHPERYL3AouG/kpbSpBGb47IliCJJTnU3
90/YOQMQxYt5P0ydvZalOI+DFZ7M3GnXQYVAvUwVdY5TYPMRMAqKrI0h+jMV6oCn76cMyU/nzOe6
qcWhk7bc+gYGCLK8rFt5MazLYu3VurjD02HQy7WLyJqnYFMmik8tjqWHznRoxLWuuTLBwl6HuVYH
guGMfYx+5egWqXEsFTsaXH0EwJAHAn3JrE+tT8T4pmWHlUfTNDxaWeNubMq76ySuvJ3bWNXWbh2P
n6qWczPa6iQyI46oEx+RwegvczFgr5hycotEoc4Lo/EIAmm59dGErY1Gz/dulovXAcJMI+cXs8rU
zmqcfE9li6nFDuPnMcjqLdRX/ytcrGI+DbOdn/gQFYTiNDpdkSJbbWi1jussDQIIGV23bX0bUxVK
VVo4nn0B/pfwErrwNejk9C2Z5nC7QERGXUirbMN7Q5TVPKnyes6bp3Sw8ic+mvNnw0fxHcnFM09G
jSmKKpoxIAFVKWwV9MgNbhSoijFf1qVg+G368pZOUn0qJ+sp1UbTRwZk6z3d+uJM4qhxDEhcugXR
EALcIL8uakqXMjezjErsB2PI5i2DgmWEm+MWcBcGPR0JLNnm0ia7ZNGds+XTEKxsqwU80tZ2tZ+H
IIeowwcWmw4pMyt6iADtaHra67wFNaSsKou0vVR3bJT3oUcYVzrI9tT59md2NSK+bp1Sp1ckPH7w
s07cV7W3i43AMg4qG9zY3pU9akYRjeEkwy+LS4G2SeJ5gW+v1Z0a7KBCm+bEy7UrBz5I/fDkNdq5
A5CdwikpC/GIEirfAC2xNkkpw+NUC7uKQvYK87ohuOi+oZAhlw76frJvXLA6TzaN+EKvaX2QcbSW
vqjFEedboAxyuXLbJCiAeTFcyWbZxn4uaXXilTM/LWk79SuzMZKbdhb4NiEa2m23gVFknZFADfFX
NgjQvrMljFjhgNi7hrsxh/qBJ9crIC1XqJTCzrXoyo8l5ZfZh/mrgJdi7AM5msCR6hIKGcbCgaps
6ChwY52SajNhOHyu5sb7XDBD5UnB65YcrLQ3x0i2k76TvXC/zq7TFzs71iQIibkVRIYaGROS3iJB
bSO9gkMuZdIB5NI0aBiJYUwsyAvOI3OiRcjaxxH/RFVB1ib1B3NLziaTXmt9S/C6XfurmbwBp78q
yskz1zW23SgRWiQb2jn+LYpzvfVcQjlNs0Qv0nlc45VPm+2xnAL7iqgN2jdF3bXmaqnCaZejmz/R
1GSjnTH8YnAWr72idLHRD44g/dROd8xHgl2ddsWdtMvrJSH1Luosr4btfXEONo3Y1lPvplQlgbgk
A2VNux7kQEhR7tvHQHTMRSQTuqAHNm4lfrbpEhTxW1Nk5gPhpfnGt9VirZzJMyLfkPJGpEN9H4zC
v+n9dvzk0dqdI9sJr2YnICQRxva60G6y67t+UdGyDKUZVWqZv7Rz+8o3qruhfPO3k7hELY0ZEQ+2
2ZoPTDHjrSYq9slzE3V2ifvh4yBLPDxC3dKwNch0mM3jKM34y4Jn5G6OYdkIPzmwdMZ7tkPmx0JY
2RorVvBpJB2ypty2m33utfqKhsFyQglAj7CFhN5Mc/6S2o519Np6vHGhePeGZNrXm0u+gspsweke
HXfD7GG5Q6ORb9Ii3KnywguCn4XyeRx2l8jHnTdWHqxxawLUpcjWmsgWuRWgGfJ1p+3gKnNY4kOs
CesGHWk0cfwHjf48si8z1ATN8B35TtNqXC5A8jxMdj4ncOnkjBCSJjdlaVzcj47Twv8avbD5PILR
OkGUst5GPHVbD4HzpsBeuvdV63y4bOk3dlgn6wYn5JYdcbPpZF/eFObUPg+8h6eBtsCdx8b4GnGq
XC2pzK8LAC07sl2Q/mGmW3l26e/LZXxpAze7prGSfojrwbyJYwvhca58KoFqIcM2wBVZV455ozSN
2FXGm3/nsXveIUDvPjNvxXlLQ5fxXX/uFD1sGg2Bf6hCFZIqly5XFnEzr5NK2qjRFbwqjJiH1Ew+
xJ30V5asMF1KgRDDmJ0N+L4uiEzL+KhlbG5c9oNgbTLzyjEUQSR8/fGB4jddu1bq5hHcpCfDHqDw
gVxSJAgLvQmNCc/0qH3SX5DjrBZs7LSXExuLMHwyhjNm4VtwDnnvg8UBYTt0Y79mA+t9ti+4P+2m
0AppZiDE6jrcQLxV/pyKB6fLg4RPHsyJJH1U/txk5+9F63/X97+p70GwXcS1//f6/vQ5k3+r7f/6
F3/V9r7/BzpdPPgXjf4ldwMhyF/1vcBGFmB4QmbC1yH4wWDmij/ci90gQBSDnvkCivjP8t4lqoO9
Ao8HHiZUclAu3pXzvyrv3wlG/sQ7wErF+IjDDMrF34v7mVKZvBdj2dfxZg433nwK8tsfrsY/CGF+
PgT0DA+dMjsSNirvudvxNECzt8NlD003KhZszTONOp9L+l/X/P/hKJff4gcQM/lReDJSjiLkizJe
av3W/07o+bsTeSeuEVntStgHoDCWszDPc0aM+euvz+LyI34QIgKIsBElAWSFQ4HC/L3o0telLUcj
YNPuEruMPoRuRFOfqwrBUsrI79dH++mEvh8ttDCR0Lr+ydoitKd7Qtm7/VwnHmMW/sjAa7OLaMr1
v34oqECXLSmU8p842abyG21rixNLg+SRrjzjPER+J3ZexW+ESe+EV9+vIYY028G6gWvzvQaKDpg5
lw6Hkh0RI0XZF3u/y+dVrBdN1JeudvVIGOW/fn625aAcR6xx2TD//fHzstiyDdQc+7ngKtK29iK/
C9yIqtr9zfm90y9+Pz8b+z/jXWRs7nu5XOEYzdI0Rrev5hQ6ShkbRK20QX4obJPw9rJr+aZbGu7h
kp5obunfHP+yJLx/RuE7sWwBYGdper9kJG6DGz9R+6AyNH5wTtBvp6dfX8936uPvJ0keEfAS2DYo
EO2/X0+sFf3ch9jX+761dmJKcWAnwolvSpv22TITDIcnDD1BV3XbXx/6n56fi+/XNtEDhz85K8Ba
aSshTmifT8W8aRyPBkBOB3UlDJNdvpOkEPZSUJG/Piz7yJ/ffmwlLidLK9elYf7uyirSjPJkBIxM
Wdx9qcGZTZvMnOyNmFh1vLgo7x2TmbpZDvHRUeaw1crhFuR45Gc9Trus6bpnO10ca5UtihqwF2fb
q0ZvnY56ug47oBmkzZprp9cE2pC8+oD7YkgjUQ05MYN0qEUu6K36aAqCunmpgmadBwHppLU17gc2
rl7YwikwyE2E4ULrtWR+ExXtUEfsJIEsd0NOBVWKKzNY/E9scmlupt6cnkzGXVclnLzVYhoKzKo3
wrFAfBzBNkTPMhTDNe3S5Snr+c8UdR7Di/aLD4nnGGcVziSjHam5l2rn2uraLez+ScvZPU/xYO2M
QcChpAo6uBWBOuVguVtVsIYyyrNOgQkYGImBZlesx3sHbP7OLYL+Wiz5vMGAyC4C0bV1wjHLp5A6
eJXUQ3qO83H6EvbVfB4XBwahH2segzHneNnyNkk//pg2DG/WVVguT/6E7mI9URp3nUbh4tE7+ma0
EGERe5X9c2hfZhba790zOaT8oMsF9mCl1bNH77bqK1LeZs9fV03cX5d+7CAEc5MKhZEUzYrfD7iM
14vVUObGTZ64bz0kNLor/fA1X/STu9hvoQy9T9qmi+0ORvaxLzRd5bnlknQpL5Kc3LeFCD42wait
9nnLigHHm5vgxUv/PJj8vIpu1irXojhWoaees8ujD6xVXKHaS09NNcWAzDtrN6gpPU+lnR8uodLr
EEnQFtWRuattG+AsH5xkFcJD3QTAQCBXlIR0e4xw9hf/1Cq3lwv2IcdcXgUF+6R8hBGyDA99gzF6
6ULFgxFk3rlMmHKaZVwcA9Ze/Jf1sBkJNrkNsD/QEXGseF11aBxxEoibHr1Ifshtv9rSkiOHSbcZ
s9Ghi617TLbJeU7YW+ZyQJvJyMS7taG4ssEGMmcRQvkaI9vGq2gb8Y09hXDPi1SIIXIt+hx5HLu3
6Lvs9Yz7eKWXBIpp07XXrSEsZucLIoWw8e9igJA7Zq3OnbCq5HpyvWcwOsuZOG81QWgezf2Q0q86
tB0VO0oIEqwg5cavvR5KhkFTzbQEgOyuntPgm5sXwTcjifuVMtR01eHoe01Dk77K0LqwJTBLbwzV
hyjEwsv1iNlCrJnDfC0JQyRxa9QlIvcG5oyyZpSXoX1dEvn7aMLe38SMzEcO5lk7dkvsxyd3+hjY
8fgiYy89k7dt7kcs/z6KSJ2tMpGNTkTsV/DFYpx2bMl6vhkcPX3uHEee5IDRVVuL81iGcDQiBd9j
oxnvX012Mt8RL3YBkHbBXZ518vOcetO5mxmw6Tztb7Rq/WtLi/mk2tC7KhpH7qwW0HMz9/5Dwwaf
LIQZi+hkBOMKmx4HaJnx0V7ABHzuGPpJKMcxbSuJ6mudYdomW3oyv6H0BGeUsjV+aLsxJ9HRV7iE
WIQKg8RrHg1vzZbM2zYzFoW+pqmzVg3wLwpKdwNopb0qJ8A0UVq3xErbFYlsyVjyM7049dd5KOKV
LeRy5LdNHm2rXo4zwc9XNK1grMDTbVe5LxlAe1VOrCubhW1NqOhauLCbPBXW297X9aZBk7PrGNGw
qfPpz60CEFRbNgj9xpy77mB0Jhq0tA3mbZzGBntghCPIycsQkg6Kp0jXFDi2ZA4qKQJep7bvWcbG
4lzWbrBLgSSuelaBlywLEUePQuzBOo9vwpTL1k4C78qWltxNGF0IakYSRQ5hbb32Qirs1RAMvqlw
KIF46ek2tMzi+P2v29L3HpiqdodZJ5UdLZ6YbifwsbcqmPvNGAB4p7PAnec+BuyNQeqzgeWQ4JEL
SgcI7isavMAsnLI3X4uiVx+E7tUaIwx/1WX6sMkAMZ5kk+QrWyX2vSt1/CmHfP48ZlV10d7Inect
MemaFsHUBgFpU2uGK1MPxdGvh88A+fpDwDyU1Msh9wCIF+bl8w59au7GG5Q+XD6ZEujWWWF28gs9
niyjB6k8W7Xe10Y42xHRNs6hs2E2RmYwVkdcLRoUe+2jsUXstOyR+PMLm3Ag92FW+A+WVubHXo3L
OXMVt66p8A15DSAgMfmMDJdm4LDfZWR6oa1sdcMIs7o1HpvMnyb0Edz6AEUHnG6nOwylk34NLURn
RZn7D1Xne1exVUNy8pVa2y10a95+I6CH7nUHIluL5wkByU7K1n9AzWZsPJfY2aDv5S4pQphml48d
BDoVfWfyT74wNvSyQxhxClBQ7Os7p5vdzxbk5g283uXox25xxM+YrYQJ/q9yTfmW8w0/EKanHpH/
LM88SMmdD4Tnts+H8EHm1bhCp4Qmv2vkLugc/2PPXrRHCWHH1+UkKcXx24S0R1FGwOFYzothjm/k
4hpPlWgwJPWgPNeB4f91nwpQmd9mk19Wu860NZlJ3CDMNh6BJLHIOMV8JPd+AOOms09yUME5rEe9
NczB++AMs/th7C66F6+Zb/hS+du0TY31nGVE3DZuuhdxTJB4YnT3dcqkwO5kRSauo2++X/Xeo/ta
qyC4tQtza0psq2Gn8isPUx7d+bReSWDXQNEtc6u92rwSbSo3Msz7QzX3zqZpK2ulO9PlJRbhfBzs
ubyNg0vTGEkdEJLLs0xgwXIODZdmN82JqyXI9I1QMt5UpQBy4PYjfDvy5m7NNq8ODKr9j2Ecj7s+
NmntBRkfQ4Y+3P6lXU5k6ywnq1WXJLjQqaCxFSlLoGXdQ7p/7YpZ37AozMzaYnkrumVZZ7WHPmtW
zfyMaMrzGIeASyaNRm2FVYTXZYg4fihEfuswRtoirSyOLqF7V/mEItESk7GJu0bftkLx6Rap7Hei
rQ08/UslSNllxgYY1UrDDd+m8RB2yYLsHy3bCfuqtFZSyPqRaZHcDiw41EBSqCtIh/0tQJpxBUFl
XGEFwbI1Wc2xjf1p69iWAfO8kMajMs0aj1k1UjGjLo5KiGkrMwEKHvVek0cgqumOBmPrRC347F1v
SUT9A49Tha7j6ISZ9Wom7nxyq1at3WkyX2fgtSR/ZrUDEloh+lS8mLi17OOip+XcIS86+pM7b4J+
7g6048cmcuaxYSQY+qOO0IKw0knlLEDpNO+84cCRR8Pi60c0u1CvCD8er4eeTJOYv3qXO9BAsI+2
8V5ZubvLTGc55EHs7yakMpczQtirbfqHXnpjLZmtVkNWPdi6YCYS5HKzNKmxY2/fd+gzZvsFsW+Q
821oH5zRmUlNzoyrJB7vCPgQiFxaBCS58Ra0vdgi0/joDKUVlbSfrzmNYl2aNSunl6huGwTdtKlL
JnVxnDHjoC65cmOvQ0bSmsQCDqRHNotXrXpEpnaTEbis/OqLkMYXtXi35HQ4W1tj6qVuaw9BKgjx
WrLHqU6XFcizZM9qteNCjCvrolBh6NhtwyL4CC4Sr3B+wdplChNBMEGSQ7OFRzLoCXLwGFOWouF8
ZeMhIR4gebBiy5Nu4hPq7WRVkEfG0LkEdlIjctotS04kBQ6UfaGtEurEoEcE/Uv90EC6WQCOmq2K
Kju9SnO/uZOyaD4aSUFuhj1Xn5TRDF9QXvsPAkG0XjOYhI85zssRmHmxc8t02Btp4WHGSVoX1V+3
3OWJj9kmIQRgrAYxM8bsCDFYfH+Dgj5exV2a7jBd5NuxLejGEWp2THJrHiKrb1/DbqmurNBw9gtI
oRABZp04U7MlaKEo0Ie9Ut5bnzTb8ZMVDr256myvPo9tDnLOBvB3Fy9zfehn3FH4stW2x+mxtism
m1EB+i+hncxdXOvYe0UF0zISAKx+61p9fpYepgcGld0nH/F0QWc7tW/mIOw/EYojjoWbyQ8xCqMY
xffgPJuXL6RvVYzR0iAlKl0OV2kWuKe0Uv0H2TveXuOxQeScjFdYGYsvPWJTNMFEHEVIHOK7UTTV
10oJZvK+5X7GX1TbvCKNOFqFDRGjZweOwodB7TxKl72ucgfsSr375EhBfFZMBsQFt5ne1Mb8Vowi
+GgjSd6Y4RKskqRctp4qc0ympH1T4y18CtMqHaLB0BgJ5o6VLC/zfY4hLWrwRnN7+doeZ3YV6zp1
lmiygnWiyPRUWfVolBkTgZ6GFqt8RM8WsVY4sym2mg9wrZx1ATwxi2DMtAOw6bDfEZWAn7io6ut+
Ke1D18WUUpukmuPEWRH9FAzG3gFdyKgXl7TxNvflgHKo8w7W4AfPPW6diH1nsGMXc1GhZkgdHaO/
5qNY3lEq5p81IRdPeVu0H5uh0WLXGAxDowwRVbHDUBB7UVFQ0sBelGfXsRBtk8+uXwomxCNqxCk/
jvbwlkzBhC41uFAfA3nlUNl+kQ24Pnw4CsN9cbPUY8lEwzHKXV+QVzRxq66LsSExOGyb/oZGYHKT
UwxFuVvmagM8nDF04scr1eX2Pe//117ilB/4poXRINAxOHG/HMNaDXeFSZPBTcr0WXdE25izsDbM
ZOKzIg7klTbYi5ur6QWJ3sMy2Mrdko08rg0JZDNvF1b2Bv4lr1r5APSXEXGatt29ZyJ4XMW+2hLW
Y26JnkdMzRO/N4La3aWpL67twp9ZXLpBHNIqZG+a28krWdGQwFkJ4eQayTZItHhkq8P3JAmrl7gS
5hrMzweAh9MVHkF7x0+x161u+wc3c7+KMuhuYaDMr8kSj9uxmALsYc6cn8JwmXZjR/JAiJdx1ya5
xvkaclGcWHwQY+o+ZmPdbfPhklDfhcRpSGqqOfXDrWd4O+aF9h17kGcW5OJWN4t/bJHdRf3U+5um
lPHnOiR3quymgDahkxNhES+IjIGLRnZHdauV1+K/nuQ9KT0JFa5Bv7nqocrO1Rm9o38nWhysPjPb
GwvB2TcrkZI8sInR3pABmZDpcIuEOL2G7OE9oGMLZbKal9gYPuXSIMAMrzXMEYKpMbysl16b5zge
mPBNIEHqvqiR7TjlQ8+KizrxMrAMR3MHP/IxgbYDc9r0j87FRtJP3UsaSrHPk5QvFoXgkYXU2FdO
OF5Tyonj5FbJDeO8gvq3lt9Ipx2zddk3r06bN5+Q1A9oIRJw76/1dzKuhfie6EaCjumWYPtLlP04
2IaeVwZEsPAmK7vEXhEh0WosEnVDZIWkjbwK0i68kXNXPsoKxXblzSEGUcXYkxbWI1PrNzQqA1Bn
SpWudbqjuUxfhMeuwSttgmk8j01SC+lrsYr8UBHbs2E7sTdsOz/y/nsfReU/oxOaUZxCOKUqLLFI
BF+UnQ24iOZ4ZWLWtBGU7wftk0jEyp0v115nnqmhfDpntImMIbC+uGE5Xbk1IAq/xQWHuKK7TRjX
jqERf0ux69952DXPSoffWu2SQsyr92R/xy97Cs8Zuggdr4k0ZwoqvXpnhnrY2FmLehQrewSYv/pN
burPXVCbqZPJB5oWN6Cwix7th0mOo0K/Fhn9VwFQ42hV45Mfsu9PfHa3oaCR/+u+6z8NQaDVBKSm
BpfU23edZuxKjHRJO9sL1XuPrd3u2AHoTUvUx2/GLe8iKOFYMG9B9wp5gOGeT2f772cWIlH7s6nt
L8P0RX1v0s/x8FX3NOkNAk5O9JXMnR8s5uc0vuwoJ/pxvz7df+reX3ju2Goc8I4/TQ+E0xNHZsKF
xY90xjFFSw+n3W+O8k8XlVt46WFf8BLvGYuujt3Bhdb+5zhkzGP6keGsI8tF8/6vn5D7PY0YWSAj
xsuv8sPjUuhBXrIYmCxNLXDVCQtYUL/8/x3j3XQn83obuQnPiIX4YfG7nYt4/deH+MeHg+fP4ubw
ePyUxRmGeYBWsO/2+Lx4EAbTPtq1pFtOUPHH1GDU0iJFwgpIr5XwOfNAounvRjs/v3rkmaB9Q/1m
huxf3g0gXK8ZHKMOiUO2LrbIukd4DVPvGm8DQiCi5Ne/PumfH0aORxxCyGIKKuj9u9dSWwVz47Qw
vTWrlD+fRWqJ36wnPz+LKHQhnnv0dyBUfoeT/PCAhInVL0iq233WJwMemBpnZzNeCxKOfvMo/sOR
LjpdPBpwuYCLvHtMQpXh256Des/ShtveUFewLB6bLn/+9WX7h9tkCYS/FveKlcu9TLB+OCO/qQon
7EQNIt7cdOVnANtYj+QKEenx10eyfx42Anb44VDvxL9sVP24QoqHOjOkeyfdJKom0feRDseB2DG5
PM0eg2mPJmi3bl1afGbXxp8g4xobkif7Tc4IaGcr9tLg++mCVe5SHL0gb469o41DMqXLKcbCfO+2
0gF8TsuY4qrflHaf90cxlvpmqgfaWPPglyv22uhJEUj+5kRdpNTvppoXAwWoR16A/83emS3HjWVX
9Ff8A+jAPLwmkDNnUpRULwiqJGEGLmZcfL0XUqoqMckmLT+XHW7b3SUhE3nHc/Zee0HVnK3NmFMU
2D8977SNu49eUapX2uDeSdtOnoq5dw4YWGii5OHnZsqijZNJLk6TvbftYp1YtGe0WmSI4z7gdih9
uIQ+dt07MbqXQJPmVVHh3G8zANx1YjirsEkNRKpjNayaQXcOCgxzfwKKuaPBNQZd5+o+z0nRSirO
BVEbuJgzD7wY6zWRVai9nGgKTL6hx9vSFQ6PODC+OOFYvrNpvTLWIEBpKDjYs9j3z8YarEiCcRrJ
e0mV9mIAq7vnV592UYojB0qjMe7eHnIvO79gIuGlwLhC9uKdd37h2g3DKIpq57ng8Sm6FGsoAB2W
VNFtIdd3FzH1lwczAdjw9pNfmb60tZccdbQ4L8UXTSQHJe7tEqy4lJ8Ge9QQoAntAUhM+u3tR73y
Jenyshpx4eF/znvoNEc4dMq+RDnYUBodNCr5lIPbAKtZs8c0A8OvpcsmV6NO5e7th7/yPTlXGTYN
MSQSNJufLx9ORlZ8UZXlrgUtsIVy8BBNEf3eVDa/fQzANcB8gmlLGvMLICAXwRbwU5rvdNfFCb1k
1blTzywyjN8ephw3EEwhjEKGoZ5TekVbwaIZephvWj8Gs031xUivx9GyN9w+v/7uCzTBfhMOBhCY
VtL5toU+D9NtXvO1rMLAQywhP46Swm6bG9l7nJ2XE5CHcbThaLDAJ8+3r5oGMYaxgm+mmA+xoXwk
E+MrZJOHaLTfOYMsc/m5soNHoc+x+Wqs+edoKpLzElkqdGMNAX2FgomH+Wnl5MOM02k4UKt47zT6
+hNhIyBjWybd+fZiCsetlifW2nDIkJdW5AsbTVaveqx9qNb1d1BkL8c+aQMqv95y6uCJy9v+Zeu0
Wu4dHc6EndL3B7kYq83sOrHVdx7z8mCzPAaNDERsTh/n8CeYA/Dk+Kt3g6IrD4pTmnuBC3r99jh8
uYrwFExAQEAXuKp7NpEnRQfom5J50Bhca7nu+Xnaf3dKm/SMjq6aO/sG5tG3H3oOcuYWw1NZOBx4
teRenU81lLedh/4lw1ggKYVhhWGvI//8kmgQZT3Dl1m10sv1FdxxfDnO7OFnbFVn201ksBK2lm9G
jkUQbuo7r8+AdAjB4WA5FmBvsI5oY+wPnj7au6hrrXc+/as/DGAzRpzmeub5D0NfMs4pb+Y7SlQl
AmsvPSgTxY6339Gro8xjkAHX1U/5gM9GWWHWbCNRle+Q/8MJqYadmgFecLr3Ti2vTFggX5xtWYds
7rBno5lk4VKQwLHTJ4EMG+/0frLVafP2t3ltBcIKiR4Rbh2qr+Wd/jJnZuyEU9QrGQoCUNGDwzY1
WT2I6Tb/MqTm75+iuTMiE2XLWJLNzm+omLTtAdVFxt0x/Lq8uyaxb4sm/Pj2t3pt8sCRBzLJG1yA
fM+/1dRmJaAJJk+eoBrPpEadPbTwaqBqbyLL/ZPU3HSPiuVnIt8zh92vjrrX1jwUsSAe2XxfXnqo
n6ixAV9nF0X6dVcqT3MabUT6KNL5nuV6+/bXfG3Ac+2B8IgxF0b/2Qqb8x0dGz3/TkQi2xbYEG9H
HQLt20854QDPtw5eIjxkE5sgGobnb9PrId1Y1N0wPo3qYwIBd6OgOMbTZgywflpn/JBqLllnVTdc
17LMrqzcMbakURrrWQqIolEqAo0ggTWGFJqyPfSud04j2qtv3uGGzcw0LM4/zz9kE7aqRcYLu81k
Uivs6iet8yofaUm7Txz3Yz9RncDPRyWzNJLHbBxaWF3VHzFt3dkW3UGMUDioIuEjkooA1Mb3ePtF
vjLXaGxxBHWILV7Oh88/Yg6hKCU8qdqR/P5VzFq3UQWKqjCniS2f3n7WK69DOwkNMcShlD0/xuia
JLnC7Tjah9pXlYIDPiv1CRRfuSMXHPONZXfvnDBemXQablWbEw071gt989DkcsLjw9dLrU9xEim+
TuueYmYzY7KU9Ye6GeuAluyw+/3vSq4f8BZONppxvlKaiofmyG2rHXe1q9oeAb00+S2y5IgQiehR
upjp3n7ia78kRzbKANgjCfA++yWZK2PXkrG9Uwhb8KU20Josje52JNRuV9hcpN9+3it7Dl+QM5TB
xsZh8WwGFmFjxsQhVaQnRki4zWYM1LqqAwNZ3P/nUR7cK5ekCER3ZxuCcMykI9oDaqFXlTcWIKJV
43T2Mek17Z3l67UxCvqJ4YnhbKkHP58PA7qYcqYysGuL/qGPq2+WVRMKxe+XRPUtTvjuty9HLGCY
LnSLbA1OiGc/mzZRcMd0Vu5mfUbo44x3Td8EhP3Z7zzolYUZbbFq4QTnGKKTE/RsVxXziAwk5AqY
R9bHaJq27lw/vDMkDP6Os1X52TPOxoSnpFlqmjwDVa+2MpNEHFqrte70nqzQMCepLInUEXZBI4LW
TqMP1dg4KAZo2PRuA2hW65FElXBSKnNCBgOIfj26EhyN0TUHfMXxre5Fk1/KIfwcCrXcYrajN5W5
EspQFO5ji+TQWZ2mG0trEOyl9PDuZq9AcVFqbbapirbZquTHeFygpug6zVVOh1WCKSpLmut4cuKt
1rQwOC10WoMRF5eD0gw7N/Mekiprfd4wqYTUippVjFpoh0KpWJF2JtZwqSwUg9l4UZkE0Y8JoV1v
v97Xxia7OL5OLBT0Kc7Gpl23NXlrjE20gk/11D25sQATBkOlqBZ7fPX/mHacuTnsUb5HGX/2PCuW
ZW1EEg5OHS81p6tRz/ZjV75zeH1Z8jOplaLw52xCme48icKcsthoJq/coSS9FSIBzjy6f9bZBzpR
l3Sl/d7S/4jInXr7bRqvP5cqLW+Uy/X5gcwTRU18ukVNpJLzp3gim8RtTOUWtbuar2mcc8epAcuu
u2yog7xEKaT0JQt5rQ/go5BEpaMCrLJXNlpngvZBHcaAE1uMH7SxvPSLhVF7NU7ogTJnjgKv02xq
L84cRFp4T6pc67uzVa9ISiDopZtFtIaIWAZdLgjfc4iTdvN5K6ax3uDo4t8vZsuPCZpeO4qjP+KK
f++neG1Nt4n/cvArslBoyyv75eSdqC142Wwod2r3JOkureSobjON5Ja33/1ra9Evzzk/GA1iKPIK
r/fOtXLVL6k3gBCK128/5LUN0cajTV+BfhvkiudfRgWdVtVmU+5oOuFsBDrHZfxjlcHohRb5juns
1YctWSAcfHG3nR97bRgxZZkzV5TYLriJztsBFhcyMASVXfLO63ttIbAp+7NbYNl7cfjNpTTsFCnF
rkmbWx1bMEQK+bHKm29dgnkrtt95k+cM8eUKzu2BK/9SJtWd8z7N3Iqc98s5LZ1yomlmXTu4czPu
dWrxAQ7qeAfpogOo5Rl3CdiZnYxQNkcgQC7dyM02HlyjDw6+ADTaIYCdd97Ha8OW39mgjET91jtf
GMcpbJUs5pgz1uKb4UWPsT7c5wbN5LdH1KvP+ZFsjHvtxeGgHRQZC0Q5O26igmpO91RKZQyqvnln
I33t2EpxCvcaSXiE5pzNQyBtyLgRYO06hONxi85tLG+byjqkrnadV/VDkXvvFCpeG8C/PPL8wJrO
Zo5QRy12ygiYv6++eWaOwtU+NNXwzp3DeG38ciNdgm0I6KKW9HxmdqNLrunkFCwzuvyji8X3EfCc
P+SaC7Fr4W8KJfFhE5RrUHgIjhVtkWc1KH+8of1oUlT5GNZuu+t1ZMtYWzAbxF2Drd6rArfMcxBQ
rbuZnNF9dC1WzZVdkgUCoJqcl2wpbVb6d3XU0bRXLlm66h+Q06/wJIp1x5EvIaWM2AkjWfcEaN4L
lJds9vpvhqKdJpW3OHUpcTBuz7vzgFTJMUWkvJvFvJ9BAa861fxoCetIzRTQnBzfGb6v/cSLPQPH
oEOx9fy1i1SLZM1haJfUnoI4pm/EZub2GwD2ByvXLsLUtyfMKz80+/riNvYw4ry4XXq2dItON/Jd
5oHTiRsJ4yHmhCbTqv2YNtq8Q4f05e1nnvQaZ4dQtDc6L5UpytX2bHQBGs3pzObFzi5mz4/HHrpw
DJ0exhlgxCrPH4VeuEFqItk66ZTduMsfi37u1h1aoi2cISSz73yol+0+E1UCVZ9l1SZnRH8+5KPJ
miEaM6PbOUTPZkTmBlWasYGN3m49xzZWjBTkU1a+9qIm9iU9GeTXpha8/UFOwX7nbwdfOHIM6E80
2s4+CE7+yC5gYeJbTmF/nsTNiZHPtwgsS+iKne7suxRJIj4Lgp1zisigY+ijEvU23IzGqG4ktPdP
MQkNPgBr9RPHYuIrRoYUtolsg7LH2qLL/SZRZLJkk+Ngp/EawaAZNErZ7WK7dtbQTJzAjY56lRn3
mVFO10xbnCiSifAxdnvvkKvOZ7WX2TsX81fWcLZM11BpAHD2Oy8cUW5L8xb46M7Js+k+xp8Ll21K
PgLIiTdvv+vXHoX6Eq0BbnS2jbMDCE2nuiakvth5Fcx0UFCLpWcSkBfJFfj49rNOv9v577pUf4mw
ocqIn/v5ACsVO+/HIuFyMFihu+poGOP4mE1tG4pqCEon144asd83HamGV7quRLd6B1vQNHKxFeSD
7E8f6F98wzv4hh9D6m+SwAs6m18REfz0tfoVzvbjz/zkN3CI+Y9KH8cjAGO55C0Qtp/8BrIvYDFg
waZavQwrhx/5Z0KwCdoBvzulZWpOnNQWRNxffDaAEJC7Fw2WZRncdbzfATichAm/DDQOJMvBBOET
VV565ucDDRK5IPpuVo4ucRmptwHD4Mr+UzN4QKIPIGMdrkaAg9043SJxsxPrwvDyYkRvDAjGIay1
kuQ4HEwvdDPjslRwZRMRpnRxRObMys0bAF09RLMp3C6GzCS5sKJxqOMVlt007HdhPfOsD6o1YCnF
Gdfj6Y2hkyKKxAY6ug6oaxIxfGWw3bI4LE2z3icyAbApfiWw8p/1Eq67j5GqEfIe6S4iqbVrRqNz
C1+/j73rJOnWIxDiJX7K1ZXCt/oSnE3eNzO2D0cqJOhGwODdn+Gv/86ad2aNYXHD+GXFezFtPj61
MXy9rip/nTg//9hfM0djpKOloUWOwc4i3PKfmUNMNtWFZTYtM+OvScN0WpqlHl1oaBSAQ/+eNKb1
HwQoS+ketIPJXqn9zqR5vhOYJCcCTzzNS+oMdPHPFucZZ02vtD1tpSEvZr9Mpv62YRuyV1zu23fE
g8tf9s8EPT2M+b4cKD10YS8CIyNrMmGUYvqOFbjhpVnpDxK1+2OWdBC/6FKIzxFl+idvILzul9/k
5sdDfm01vfroRdJEqhKL2gKJfFY/UDJt6irNvD2BcUuvUfBcyRHEh9PbNNrdCWZZq2Jq9NtwwbG+
/fjnB9zlm3M1JTudejQF3BOj8tfH60YS4XzLjdu8ULLEd5Whq32162dxgC3P46YCptHbzzxrT/98
KEOFGzIZSC80hfgUwz4Snn5r6aX+UKJ13OuFPcOkpgnyKDqL8IVkIbb2Ws9ZL+767isNMmxVis17
qG00McKJCKFplSUwZGbTfuLS1Nbkzw6qdhxECAc3WUIsVi08xDiYaBcZ75SHnx/Vf3wNqiVoZqhE
k1R2dmp2R6I3qH7qt5RgGSt9jhYqx++xcdtJezhBoafs3dSv5zW4n0/1mB4O4doI3M8GjK2oTjpZ
jXabaoP2UAIF3oKri7+rKTR9qc3TnXWyWzoe+Sky7pPt27/ey4np0L5YYsTRn74sceLrX1KwJ+2W
hJ3pDvSA+Cw9ogKiodbeufVqz68Ap+9KRY2ZtdyEHGRYzycHjiWsJ2qv3SIlm+4UQTNvMwALyFeh
YbRfp8w0nwbVXmbnwjYWzshkOTllU2yP7/zcr31xGgGslhoixBejVgdr4NVqqN72Xc0kMZ0wry50
6KoD9kc8l2+/5tcmibOcWU7/jWTq7CisiRQuvzHoUNFQbJYSN6UPh6469o5aHYuGHAhjaKtjXSeM
cuAW2lUxeBO2jlQjv0NL5+qoYG28i2A2k8eENuuCsqy31jpcw3E8kKFUypRZZrlIezlhq33+znH+
rOd8+gGdhZRCdhzKb0bs8x8wzaOwd6Wn4SZJyR+bnabZncYNeFDxuWkg3ufuyJIreYGFO4K9T+Y8
8VGn1DshC5iKSYYWZDuPM/xtLSQoxG3U6e7tl/3KKujAIkI1Y/JhX6j+lUnvB9oS2q01O7yQ02vW
RCM+a2qoPdR5897IXnbQZzvOcqulnEGbm+QEVzuvZBRdpKdqJtvbEaPU0eoK6wk81vIvRkrQAIFH
N41ht/YqTEKEh+qQEg42gkglwmlhURql7L4amKZvUpUVQFWYBAn3nAtzGROnV9Sya9grIILeRTs4
1VHScyW7KDH3WEe0q1n27+mOfnRMf91IkaUtglCOzCalhBcF5Jmmj1MTf3Zb8ad8T8i5CVJHSa+h
mcpuVw7xMOJ8GdIu0C0FF0wyFGG88WJgmat8EYX5kpKor6f6sFYLvK4DPu/lAtySoVhSjcHfC6t4
DrDbejT/yP39AOQ9wmRKJFYDPhFmBUYGOB6BqqvMDPxn/ZotgCy0LMUJZ2I5vaUpGR/dtkgvqGtU
V7gfHKi/VaOS9kKwyCdNOtm1Vsn8TxWgcpBzDiCsRs4A76H4xF8lJ3L7gFWzDJKO/fugeugMccym
4oZ0FtigU0xwHPmBrRpYDtk4iHIcRTz2ZZ6SQx86zr13wvTUaYT1rtGHesCjFNFk9/DSEIbS6e6X
Wskb1y8xZWY7YOKdvqr7Ho6DXstE2eNJNy/0iIyaFdkiB2rR3r0cBzJ0HXOJE1JGgO6r1OpKy69b
HaFXAWVE3DhRkTc+jMkYk246eo9R3LPtZowRR/ZMObuCM8c9HBYpRwNv7SDP59NhiXpqyUVL/NJl
teEIyEI8CHaBlpAA7OhOC0s/NErFd9swh5aJrtS5cMlA69mZtVhzhT+XveoIzGK4oy4JjKkvlIle
+QaETAEbXiSTuzejJL4aMq/70y0zuwKCGatbNUmbAHd8dNXoZrNpPEzCdSU+j6o6f9JaNznoA6HU
S/H0iyT5C5gsdHeqbOFGJ1zsD4iS1icK79aqJr/pKwNl+hb1IX7QOY7KYLGXE2FMCOQWaqQVFJoz
+AysQjUgyZbT5JJoxk3GJZPArDFYTlYSiQfFcpPsOKCoy8wD7QysZc4QVpAtULHJygkKZ4mlWHWS
oFObmAbLC3X+t6aPuiV8jLlg8IlXUEgNCsgw83Awx4Nt8HEzdMaBJD3LBYywHH5ma7qrsow3XSpD
dVQjrpus9or5VLujY6xb3HpyVVCZ/DApNHlXMuzYFGh9kLXjENKEfZG1IpGMSu57+NfJCKz5O6DC
is8wEvhlCU7jR03SSvFVtXHJdgLEj4e85adHK/y5gXZ02zvu3PmztM2n0KKcDK+H82qXgzVJi9F6
wr3oPY464P12js29jSP2QjFZhxyz8NYFLAOyNpihrl8gaBUrWVt8OG4c1ZFjXfgIPcANMllUx6wk
n6xWreUfQkh/0XVgeVcsZyFUNdMj013TlnSniFCDFtiu0K50VeXfmJ2MKEbX4uU0Ojv1qssN/omG
OLYrOMssMR4lv4uoJmnBIynmDsktm3qisKKe1kjOcO5FaLGJOim4r7By26+1t7zKhUL80LY9/+fp
0xZ9DwXYACJ1U3Hs1LHjJvKmPp1FspzgzeuyyBqkZIN2RcVUuxqI+TlKfdQeBo2gFwyF8q5PuG4Y
S0wcvFy2524iK0kup0ep8+61QvKlmJI8KYtJqgIAMd2ly/81NCBxIPVx+lSzwXpyc3ZRpETtV5Gz
29ZeVH9OSVMx/Clp5d3poDBndSkPEK/spxOzNKU587mh0L2eiAIhjDHHKJxQk92Dx1av4BMrvl2F
QFwbAlsuGEb8dqdQu7Kq2XjaqkGpzidSU5VDeFWRQovBW3wOsWQkiA10pVmHlOCe7HZeohkqG6d7
3TZ88oE/Q+pShbgAShMoD/90wCG50yNEMiUB5HT5MZajj0y9tAhyEFW5bypEn60cYfcwni3pXsSA
up5iMCz5lm2HDyh0DJdgckrQGKLQwi+5EvPw8jSFEBKm02aYmuUYxM7TBc1465pj+zX3Wn4jQUqX
3vH/Yk5iAy5Ni7WtWq4qWUxykiY1DgYY6/aUZscrwBHOnq9THQ2iTu4S2eMuV+KcTzv0yWJ8Y8ft
luFplbl2pUYpO1MG7apZp4MzAR9IZX8pxoi+YAE5iFOaXTJqCUlzKbTwXxd6aDGAO7zn/Cv6osdp
SJwHyFOQX7paTbYIuBkjeZxbT3Ex8k4nUfD9T4tAlhvTHWE6vJUcWvQFDDNMIh4zTNjL44uxc/10
mfV5p4nPKT7/I+knDR5UDmKkXfGrgrAgbIaNnPcwcgT1CJV8VEjLvJlkZD81yNSOGfwjYgSSWSGI
CNbnRdO0fJLTSDQnUoSPY8ISYGkQgNcY2Fh8zKiO2htvCvVx78JzCVdpbbI06VWI6QzYzyMZkZOH
1W0GBzXbHYci4sE4A+lQoO7hlllPhDVpD7ricgfwUq4h5uRqD6PR8JKRrGn45Ul/J5gn8cRnOxJM
9FobCflZviE7EWfkRVqzaqom2Z4uvPOoiM8z7dMHkBT6Q8LSra6ghGkPRKxoDxUdSGPdLae0GZdI
/uPEeNo25awyokSuGHvDjfnusyW8i1J3iU/s9SJogIndnd5aI4bJC9IRskXQLB8ntvkWWUKolOg7
5itIDEguGSFa6iwJvHWM2SAMgZbfyoJX/BVSAJMLBymrY9w2FkAghjyw9yyc7uIktI31ODj1TiZW
XqwtDMrW3dSMS3QgGPfZh1ZlPZnTsrLwT3uP5UI2z/Pe3GewYCo83u6YH4rB5k/nfazX9xRiEZcA
euNFz8vmgmJnWfsm5KrbKtJY5DmKRMuV3CTXzY8LxsTpBfxYi5aL+5DqrAvLwtpEDjvOaeyGEY4t
6Nqi2U1OIr/Q5wpvT+PT1Ptwm1II2A5lbWaXTu8yRFy1b3amlQ2HOJIgn38MiAJO3XfhEDrjF83Q
7HDqeMRmgn4nZFJ7OI0KG8vWvMr0ULuyyROinVVqV6m1VBuylnxc30a1UsKhKVmJqI4qPrGWFCEa
K01m2Kt8IYWmgaC5Q+pMY478Z5KDELQPTdeuiItrdgw5LEmxXY2BlhNp6DthzQ6zCHo2lWDQ9GnF
am8k2jUqHzhC8cygVhWNOCQM9M3utAKaWZcBswgdXja5QMv2DYSdpAtnZNosGxDpnpFBpq4YOhaF
KmqGcEPeG9l2Zb982rTvmGZGLXluJOR0V0izsVeCq9qjN0kOflbE9yY52GV062an0OJrJg2pIADT
+0GDarTr+qGMr7UlemIPPUu7atSBT2EhAieGLKkY7aoWzs1DZ/UcQiIl8x5PSPySuAG+r+ONN2av
O/e9OxXXFMj/jJVQ8TMvbXfoEskCIXvrOGZR+j0yiMZwdHI2DJsrtT9UBhN4YnuEUs6OtKTG+h0l
T48TirQfsxQrCgmV/KCVNc4TiMmUHNfSlQMEARB9IDWLfSJEemmYrQaFpLKKPTf7aVdqJFv4kDHL
y7Ayqu/elHNesHVkcCaHTBLDWr1z19PUduqhXhb/A21ACpFYKThTEfrMDSYHP69UOlUYqmy9X+fh
qNxHKaYyvyHSmUqVp/GSDAvmEhXAceUamKAhYLIu1QNnHPrs010du8TkEby2BeGIdKsemTPLRTkD
ZXEcjQUN4cU12dNqw8cLZ4dik15xPjDDkU+KWIq/L4xZt2cLxd23ijMmu4snvHW67OEa/PvH0A0Z
QaeLYaRGpTgQYCRY8jrWtMqeyFennobDPq68C3x75n4UnnZFE9Z7BLPWftVn6RKslJl77mD8rqWt
s382SHZ3fRGxWs12oj8MPNk/rZtemi1hX2yYa1kTcQTEkUVdhMQjFo2bFEEoKF+NkylA1IBIqTrW
vaZmCqHl4pAaKtlBqawNYaF87nmu2IG428UYuuLkmznYanvEC82M65b8DyurvQsyrZcTRk2NZMkb
KzLAt3vHATu458I2dTg3QfWQENFsq67tN0Qx6S53lc56UrMZ94erVUe+MasSdR5eiZMqbBthqHOT
KGw2FnuQNpG+qh3MtUM6LGlYV80cLcvB6ciMGuS7HUG+pUpWqBtilYlktmWnb3hy/EDyxvRhiu35
IjZl8kH0URa0zBBWZ24784YNsSe40C5U3afjo9w0pKtNPsfp0l0bjTHt9MhS/uyFYX1NvX7+BiZy
+F7lU8txe8yjFecq/agJ4qM1DmXbnOLKJ7KJ7CbowzAHPleXab0mbbg+WMaUXCWOAJOT2snHQnTR
PR30YfJxsskgay11i+ZaXnmGCD/gcc3+rGrJ32QRtdVyUiaO+4bUQG6sOVmQmu90akNshTfYn0/V
mX87PO90eIiXWEQP/70xevVt/J/Lb1Py57PW6M8/9leHRwVGj7qONZ2mIGJwal/PeqMkRiFpoA+A
V+DvNo/h8Idw2kJNQz271Mb+bvMY2n84SSIOpDJLJN3SmfkduP1SxvynYmSRVsXjLZfOEQYp74Wp
uwY6BOyCgIlGx9P7hL96gfiYTkf8S+wxyFasmWMq0TNXbaGQjkgYaMPtzSl31ZiA4lBa+bUx6Gn6
iiosOL5ymI8T4TTf6iZ3goS2SzPX+LyIHWabJX1FmvcKUdYuCD0SMnTBmR+yKokOMqIKza0D7ph3
Tfm1c26Hqh/odYofnU/j1Aa1x6FTP+c/+qOzSYQEdKpKpXOaLF3Uaemn6j+bq9FsZfRabU4vwr2P
dWeuRmB3qC10qlJmNzcE24sCNCOiRW3tkuqSqx+T2unmfluKwYVFQ3BfqR4TLcn6NcdLNlAwb04t
5A0xHCUZFXJM+aMYXuY/0CU4yeW/E7Dskk6+MwENKHLMif8+AT90T/Gz5uqPP/D31Fu0BzT2aNQs
itplEv019TTzP8insRRgJVpoIvSW/uqwomX4O2viLz3CMh2ZkOrSeljMitbvzLmTjPfXOedyhDGW
hhWCYkRf54IeymZJXElXXnrlrMyZTwVeyk1hUwosCkKRswnwsM85Xhxby2y/alJyL0poG5y2cq7M
1RGlMNWevqeek2hcNwjRvimE1kJ8Yz9KECowcdUexGOBkyYc7xSHtMaaqLgBjdWHOJy8QnB00NOV
/UOrAEBaufYKEwJThUoXTz3wmsr9bghHJv0Ocrc6DfvI6bUk3IfOpKQHOg71cM9BQmVGl+RXrcGD
6uY6SseG5BgHuuS1y23IV3ksYTqA0Yhf0cmSQVEru7umMCk3IHMgxrmI6aNRKfQXZjjMKB2OcFcZ
O75UFeRzr3wZufgTzW02tS+KOCU7zLrqKCDsOXZFm7gK+yc6ZglHx4JEtSRrKKcRJ+fDNkVf53vT
7OjlAXw8xgCONNlIIvvIRb0+siqQGe6ngIGv4igblD0JpSObcKZE8l7B+DirgRpluBBDU1jEUOsJ
crDtEKpVV+80FVwUiTQFqvtsurNzNWkuxdRWpOpRVNbJgv1XqvTt/7IiLIJEZvF/XxGuKtCG/xM8
EQn69OvK8PMP/lwZPPs/Ftst05mOP+yWxTXw18qgsjIghsfftCjgcG//szIs2guq+PzHtC4s/PF/
b8poL+jeq2zYtPHw7SHL+I1N2Typpf9ZIeg6ovBBjcCVlL2ZlueZ5JElS7RcCvSLGZ95NG/hpsku
DCqdrC7ZXsJx9CipOZBfB9dK65VrGvNnBQi55uuJtmsHoVyELG6c/Ql/RkNbgdKf28sqKndxY/QH
tx6dwMw9+1j1pXJfl62A4RYpxy4hrFKYhX0/ECT4IYVhWa76ivqCJuqKpLC09u0W3DV/n7bR6X6W
K4/YGniCwFf43BNZBtEOWDvdhaI5cCWgOlKHt5B2r5kSVFEAUJvM6l0NpJCUG5do8Nw+aGYYhH3m
BXFUf+0tbQz6VLQ+9I/UJ5hLXoZkRyJxUoNpUNmCbeqxeQtHl9rTRqozSV9VTWke7ioUtvKjJ4d0
3YosCeYc8OnUXAPyNdfwSTtK0p2xyekM+MKiXmAUNs8voDzzpsygK11vJ9s+uXOiuKITgehXZLrn
j5UMV6MQA7b79LqRHsGyBBOuCwD6q56VfmWqmMxjHG1BlNDpGNF5UWzN20OWOJex5oUrzSjuPBVt
GYiFrVf0JPuNGUYznWKCB5XXpB4W6KFKfEKq+RiaHq1ukP7QLV9CZF3Q9ZSictlHfmMp9jp3+y9F
6wXGNBUHUWrJUTSJ9LljE9rgbBRAHBtrhkXXZ7ayYuVzcAjZOy/0aJ+RDeZmOpcnSISPqMerFd4g
a91Wwl2hrZg2pLR4KwUI6F6v4vTBSdF9t5o7BI6DxQeZhbXRW0UG7aSaAbkKmJTdaDv1kGVrwzbX
npb+ISZhHimL7GUZEsprke/Zt80Iyzzaxgb3LTCYmJVyZZ2l9UPV2o/uNF+kOnHe0WCbG6UE4aSp
c7x1RPE0k44NusHcpqR0gOQdF2Zpqhxq3ftmzkoaoBuygqUemROPYI8MCbeJsAanAFqjTPo6/Rmf
674/uBod/Zb4O62z9rWean9IgpRJFW2Pk5J9maU5Ifp1xTql2rGzyoiiG+yGFUHtHgnIaR04kTB3
8Qxa1aQO66s5/16mNZ+UtiuCzIEKiIp/ABwq663m8gtWBpnwdgqxNzTSD41uR5ewPYuN4X6JvFY9
AJmp4Z/bygM66gJksR2bgZMnyR1RznQiWxt4exbLrUi85mEJ6wwQsmd3M1reoG3ny7Zr8o2bZuOa
4Dp7M2fEXlooBNYliS2rTlfUm4Tj+FrFVLCmaxdjVcv0ICbMclU5qb3XdDi7SeQOO12P9p016Eci
mPtA4dz/obcIDOihqgW6mTq+HXljgF28XqkWyLDWStUPMjTVVaeQRw0Wad7glGDn7XEKNHNW3meK
IW9C0asHrWtHEr5tO8Z4iBVmbQt3DJAl2GR3lNnakHgf+aj9hQPYmH9QuSjB7m+rzL5SzOxLMsCP
YsPO90PNbt67gxI4M+9TzK1FGSXnBGCo3wlkxy4x4kMRw6yvUru7V91kDxDPxg/koDVorDs75FI+
qka1jr2pXs3jEuZgTt1Kr70/+y6nn0DdR+tvcvrWKzVNyJJJlG/wOOQm56DTdM5FMvLPt3C8RpvW
Q2mWJQnnSkMhtBWBDAc6fnDRVpqZPNVVRM/One/bikoY5dJoRRyogg6073wkP5ICfqUHTVkzpCK7
uZS6s+Gk9uTVBmpTYi1BtrbWfajDbC4cb91LZaUy1baTWX8baEMCjJbhFYHwxlbNNe0Qunm2SXN6
+jC52hXB6YLOYuHuYkO9rnL9DxAOF6SlpHsSAB/dsaUIktidn+Pa2vfEPD7AG/2YhximhXC+2TFh
ikOYdP4Y5Q+61h8ds2uuhKsjWmvIfEB9cImjYYVG+yaPw5KmdOz6YV1/b5peDRJkqitr7qstztsk
CC2ZrmugnBcLpHBrThSULSP0dnmKAc6I//AQ+j9IU+4q2OfH2camOuCE33Qu+baTyxPLeX6oBzO5
AbB/kWpsQpMSko4yesxnLco3TQ+kXS2se0G+PVzOOvlf9s6juXIjzaL/ZdYDBbxZzAZ4/tGzSBa5
QbAM4YGEywTw6+eAUk+X0ahaM9uOjpYWUuk5IPGZe889z21/BG0pQiktkkCH0WR5w+MlrVr3GaX9
R1JzxoM3e1+aEeRvCmV3N7KS2k/1pO0S0j8iD8XP9VDKGz0BTtuicOGNq0tBrEg0OKbA1HPXIATa
gmPbEbOC88e1S8JPtacxALTeatMXKxMmZ+E4Hn25sI7Ksm47x7F74PzNTqm0FWYiTjnlaw4hLX6F
3ti09tliObvEU7DCS8FuEc3ZPvHyJ0V1e1w0HwFlf+6LtgtJfX2DBOydGJfGO80DtWYL19gRa+Zv
DbvST75YE3xhVIcLp+quc7tmg4d5sepPJfnowwNm9riHCku+EKbXSSFiEdE0tH6jHodYVh63YuuS
6R62XH2Vfw3uPFAiRJxXrDdZk1dObx1as4HjBT6CdOAHa1S1xSZ+ntkVJltIqpze2FcXMmdIcGfd
dkeMPLODZ1Q29VKfoDr2XhDlIIA9gPt5mbHgg2XeLV3374b7XyqvDRv0x1+V18cvr+l3w64//sQ/
Om4DTb9t8T/Dfp92ISj8R11teL+xXzEwY6Is/jbH8b2qDlA1u8ROU3l/U1Ub2ABQWOpsJRwmSkQ8
/o2q+nfo4z+ragfJFy08QziWg2hffyJckMHajo4Xu1eE1oBVRFXSnmtvns0twc7z2hROJtzI+jTp
gVveL5lwgk+Irb+mzeLck8BMqLfRWB9YZk1PnNjZGZ0ix35p+pjRRO1ycwIZxNGnWWt7S6FAq5sm
SrUPek3wSEjAb2lVZ6JF+r2UZZ5feWYatCFcVn+X9Wl9rOLZirwcwU5FTvKmxlCFxsJ3dmkGjWHL
1PkWyihe/lxXhINYQlz0nEr72ZUtxXanvixG+WJXg//FpqJ4LomV3usiEy9dVeiR7VQAGa3+lS0I
BcHkpwRVeGaXnpc5nQ66aOwdP5R2VeccoJR5cpein6Mm6AIzkR037whveAcdHnizman8WktT80mi
HrBH2NVGNomoh25zN/d1cwdNmijnQX8qnSx4mJxpvub4tPbCDJ7Q9LhbSeRObMnq1s619mCPnXnV
VRVRLr61EpyxUlSyUUeHOuEy0MrXYGgdRGIgsCmTinNbEftbNpr81BdefJxjx9pBLSq/ViXn6IL5
9Ctyeb9ly9DBSzSzr+NodttAZdNHIAKqZoXGfoPZYBK1Vem/mOZYbB2PcPbJb56qrHpqNV6a6eGy
qt3kczxozpYop2aLEsujWPOqOvRUzRO+JEbOCK0sqO69ZbIRD+qpOK5X5EMre3fnGzGRwmgyigP7
Kry+qecNvHvpbVAUSR7W0nIJ/2YfM4Yuz607uzCKm3nul+tYpXpEqdlepJapQaXQJ4dXoWYJsBTu
7byEhFhpVnavXCLbnUrMF+nsWpdmYOaA3GN1o7q229V9P30eVmd0SD87RGOhibcAatUIaxPrVeXl
6qJb4uwwOXV/McTEPYSTq5IvKcK8dWPnHFKDJSBpEMJj1xGk5E0Mnn6l6lkP3S4gdbirTTLXWxdg
PWHw46M1zcSHt9Zs7gqraMl1YEi6MZMUzHtqOhEhUxr1Z2UGZ1lVUx4OAiRHJFug7oGaLrKWN+Wh
Gzv1y9w/JJ1XV6EszPStGXm6+n4ZHDwghhe0RF/cxdFDK03zHKli4obIEJRJsArluyUssfNyPXjK
JKgNkPJnIl2yGzT26Q7IiP5Juka5o4V2PxdtvJyWqZKEgMuUWJGOhq4zBvURa7h1oxWxh+bRj3fj
0BCGVxdqPjfAqIfI9+PmhGJBiU0Va+l2Hs3lhllYs114fEauOwFGmCzziCawuyt1B/NhqcZHJyWO
IsvqdCZHrdBCL0iysyasmVSswK8in9w2tIGItUMTkQyln6JY7eS8NRZJ8TfE8zYjFPlBTrDYpWqN
Xcp4dJMGxJl0gx1fpn7d3bhui5DX7z5kBVKZwBoPXW0t12rUCeWZvJMzclsTeWdOxyyu1MFXboOu
DOuxoQx6Kl/48z3R6+Ky6qX5wTTb/CXTjXajuUUcjmwLyHchq+1YY2i8n/LWZALXRxam5cuKDBm9
btRtYrfdxZyLPOLwRNc08nM3Tg0mr8osDoU22JDdoR+X1vhigKi8EhBujqYhzWPVj26YGUQUAMIn
DYEfed/R7WziDD2gJ+jRZ9Ma7pcgnb8S3oHmkdknBt7KvvXmtmJACKN/g+E1jYzMKfbeOIlNFnOQ
6+YynLOUJSGSJHvXCij9ri/dS32C0g85SB2DJFWbGLPYs9XoUAOEKiNtgjHb2YQEb/LecZ95CC4H
kle1r0beauGkUnSCrj2+5bHWXNksie/6llENYxZkNa3+mixVsm2NEjh3I+Xel/gqIhG36TOEneGi
q8q7ld55QtNaR1bXibOJroHtn9PsFIEsN7qRBdc9OfNtOIzxsrVpG/aVTVNmWvSIxDzKzeil9lfY
KHKLu+XzWKYyKjgz2a8WKo0619EuUo3QWRD+6klMpF/ZhljuXFThm8Fq3OfRT7k3LJeAAoe+i3XI
hDd61DiwaGiUk9kvRSlBkiBBvjJg/O4XvTFeVZXYNHbLQ8zkIjLVbB4cCaAZwUXs3GdMrzdCX3wi
x8u7RTeOVA86SH3LcBHNz/zANduzjZdJtNpFQn66U0X5WNHGuHV6gzWWrGQSgtQjvVJ7CqzWOyVI
cnxOUHoIzk0tQkRw0Xuadbcs482YZAOjI708j3xhRFCO44d8NqsTqNeQWyLb14FRX7hLkh4DX7sr
5oBLTXUNMxFrpbTXiX/IJnfcJf5QbnuLzZfuxxd5AT2uQSh9jPXcpyXRs40S0NC4oegcKrQ3NBlE
DE1lu538uLpIiMTiURSr1zTTxV7DSnFeKHI/G15ZfqJx1K6cvrvtLfqWxcc/ONv9FYzj9kIp9G7d
oC3Ylj0g044nH3ryWU6OW73mqPaOae4lu7bImr1cHcnjsvZjk5b0J0LFmFdkiX3XJ3Vzs7ROsSEL
ypFhnt8aiTCfaTdIQuWpTMCGEcsng+SvNWzeuahElhPfQzqfxRyQKel14dqPk6ZsAt+qcpvVxO16
JP99CPxE7MfBb6+FP5Dnxaxvp7fxV79IOAIJp9j7fUBiS9qXh74p1408sSDCKZKPEkp46PWy2Yil
bDfsVpc3py0/kDVWR2aRe/cFae+7wSiGiPc3h25uXUpO1a1IjZe4tzW00nZ6nYuG9DRtvsQtfTHH
hv1QEn91anPL3togkshbS4NdNhXxSzfOE41n1r1MWs2OImCv0kigOZ6i2aQJelEG5wqDO5TSSiId
JHMUTdarNjrzppstZDR+TihLwGC0SMrzNJyJvbPJj2kqeWWXTRKlvt5EKfkzD7nm1vcUVcW5RjlM
uIoRe2GmCnLFm2YwMNcn4qrEb1+5ltj7k95dKouop3pyNEIK7Wqnp2YCnh15VWfm4yGJ88zhxM/d
m9YR0zG1S2M3+VC55jx3IhIrX3oMLRFB1o7YK2Us10J5MH7wMZ2apat3jq+mVyY7PoatdqFIYVVL
Ak6ZkKPjrkNRh+TEz3WRihd3lhExQf1rlQTxhjfyRsRlu8uregUFIkg4zr2OtDgvtEMCVt5FwVVU
OaOPomYrYhYRKhYXaVxFppZmJ1/igbxQmwQ1Hmluh9s2QBFYFPk1dW80ZCvuynSXnY4rfLuo2DiR
ipiA26LaTNn9HWJL09+Y5TuovEu0hoNqNjhlk62RkWhG6dEhzS5uHW8prLDX5+kcgzmM2ppcVp2f
+qUx+gQ+aBxvvXpkPpIwezp1PWm2CaveTavQ5CGYjr2PBPt2+IdHGtBs0W89wQMJLFeSXxlqMD5P
wiuvFyaxkS7NMrLiwtzF9cLU4t6f4jFnwi39tPmcjaj6iJH9Xa8+pQXi9fhdyT5MftB8ULPkW0Pp
Pq2S9+Bd/Z53aMPRwpcGwngktc7GIULR28yrel4bViE9md3TV/GurgdNSyAlinv+TPOiJSrerZlr
R8Jmyc4xVqW+vmr2R+m3l63g32bw2jxb3HmkA3Y7anPtskB8uhmT2dxnniPwAYip/tLFOnG8q00A
2+jCHcya4cob3Q9Lig6y7Rz3iw0nJA4XbxHn2AnU1lmCjl0fcXK5y0pAq0R1q6uUOYzVECPUALw4
2OXgr6fBvKHqMzcErhHUqfoqTEgDI52c4alXOuZZr3v71K3Omgy68NYv02njuHNlhZ7G6+mFaB6m
TNpPRAE7U9hnrEnC3tCwbuhlEel8c3eKgIIoK4f5WTnxdZL7fK1khE73kwqSjcyTjPENK7/LWRBt
kw9kR8LlZzLYk1kyhnEi/GufpzCk16kdj3kPQTTsBfqDqcrzD4lfDs8DpSc9Uy+v5npJ7itn6Xf+
+mXHrC73GmAtNHxmlV5psQTV19REq7mj0I9z3rf3cVyhiM6Yue9HEuyORd/Vd4RtdujqjPaxSzvj
oyH89mPdJCTnevqFbTI3gUGtk4tlCoEKNSC3bJTEK7LovZfp1DOGi0XtXeI9t2/rtH31FuTkIVyb
hLy9VF9YROs89jNSe9WaJ+xeF+VcPuW6yB8wqsR7wlsMDG4j2U20QsMDAVDqi9QMKxJsCs59lYgN
76jeQb7nJpy6GuyhOzhzSOtBrUPasLmJU0d9Wqj6qPg1xCYELK1yfb9I2SCU2V2XBFRi7dLh2UGy
uyUh19iyoQ2OCrvGMUUdcuGkMjtWOKGuSofOwZtcLiZd+1T6zfKQJsTtha7h8uGsmUNDd4r5qeCo
MLnylR4tubdca3OzbAgNi/eDKcu7eq2TrIXrqkM7GxrkOZ1iEyWaoPKNyINtDnUesyOmLWvoP9dC
1nC6C2fNCsxq3VlPsGQbzCzWUi67vGo/NmCDqmvii3oLGaxLM9YaPAXYCPWMQ8F392gSGYksX7S5
1tUN2XX5wcW9xH8QcNPTUE9i+oAWOuf5qg00vMPNqCN1N7cjQWAeeFWrm9SZr6Tz/R0xeqkbWb3R
jEX4nyzy+xRJ6XS1JNM+1jygkGU1PX4z/vkT+7SxWkC/nan4LELJ2EAVwXAF/Drr0m8NzKKdFB4l
Q10lWu9siIRK8dZIfpHqqPn+Jk5ezMpaRccnq3B2Gs4hJ0Ur4xE5OC5smoYtH3VPpN+mILfxr9/c
9yY/Wpv1veEON2w0RgSorNqnb9hwlSHbWkfXfiVEd+UJasX4kP0KDfVnL2KAp8RcufKYf/wCHKgP
NL1SXWUsZ9f/u1q5q71m9/5Z/i3C+4UGCJSGxVf+Fxv/r/L1yw+7/vc/8j8zSRb6aH8glvruO9Dg
nzNJEz/sN7IfkMeeh8DAWfU/SAJ4cg3pf/2H5bD3x40EI2AVpCIa+DtjSMP8ATmKGAlJnws61bIg
Pv10xcA5mCQULevSi3vvccbWcJwtQ+tYiZQ6z/OqbSF8NSe4Ka0RNkaLFXMBy6dARO1HXPYXTqyP
5kdiGYurxisZ3rWTtOzI5G50NmNnz4+WtCXR9lW3GZJ5wZgwm1OE9IfcSUFoDGHeaS33o5qNuxHV
93MtY3lNpDxandWwM4bF0nkL8JFO7bIKSr/X5Uh1uoIsQFrsYe8GvMVQpPkEVyRp7HyjzSjr7Xn2
QFNPhI8eQDkthK4Vuf4pH2nTwnIuii+tp7XXWULQG37aaromS7hnAMdWVt9QGKwE1Im65tjMnb3s
FoPmfN/PJv/U6h1hnkafnPQ2dcjjTVj055uqmift5PMGG3JWFw24aYuv7db0RXMb2Hlyt+QFRG3W
YiJHMrFBR8S0D3mE3KNT8g40ngijcrtZEvq6AecvwZ/UVEjxB3FpFebDIMRANbNRv+t9SEPPxn0V
m4nl7X1Shgm76TIdjdDEarfWI4TP05X1u6hoIDLliPp9PZTF+wmdu7ZPVuo280utnJ4gFdq9dSfx
2oUdGkRWfE4Wy+mqYKMVrInGWReEAntBtRMMX1h2MoF3k8jR0jy+jo1ZI8SdGlbRyw6WyZc5Sm+4
6HVNppuk1ddsIr1XRnxmzlvGRBD1cr1wPLizU+4sO20i6DssEKCV8jQMI2XIlTFX+WB1iKl6qZaK
VRrVmPExiVPTXJ6nDHBk92VQ7VCx70OxWca3/z7w/iWJE4qev9zBXL72/evndOy/DkP/ncbp9z/5
x7nnBr9BsHM5yv5AKP1T/ehZvzloDx2Hw+wfEJl/HoOszzCq88d0DPLmd9sYc2U8MdS0/jhI/8Y2
5ofHJv9pg8gbGPMMw/Df/4jQDayZcFShiYOflW9pkwCx85s4zHxKom8eB39SovzZK2E6ZSG1Kqp+
0lKV7OLtZTJ4JZMQbQaCaHSbKVRxOkZ//5V4DYTeEM1Z9q7v5Jt6Ixk0fDiiEIQSFmMUj/p1L2l8
3Xb5RdX1Jx8JAgjBgSsOTue1vn8hCRkNrdAiUCkVb0VZvMVa9pbz97/9eXiZVYAGiAiY+Q8qNBK6
SPpyJnGA1Iyn1W/pgMiciYop+z98dVyroLnIQEJg+w6y+ParEzrTypRPJImzvph0Dksg4/5FV+e/
+FAu3803Bet64fnrwxfCLiNEmBPff3eexA8+sJw+IGIoQnec7+ZkwmMzPwqJJeivv8EfquPfX8xy
XWAxYKLRP33/YprhNLAaGnEIWsybXl91h9zHX9Vo2avus5HI7M4KGS39fUY7n9Je4x7fgZI//nRs
8EezTGtxEG3W3I8dvbcTaMUjKYXWL+6v9Qv76QvFJ8ep4Ok6d/X3n3EZ83EmgkyQF4RRuxrFvM1N
Pb7/62/yzy55kjf+51XYLH97b4HysKU2lrwKmA4eZNOjrFR9evcD/P9e6YerXiEQaWTNK6XlOG/c
KX9dOUbRv3B76T9/KPJGAE+BpgsoLb0fLo8mrhy/akQFAdFk2qlLSAWzoAJZ7GreBlQbGyPojF1L
cNgB91mzeedB4HWvT7KFKoYkEYehT/ZM1DU1+blpVrE9jq0j3hFjN3rF24w29JgshrwUHlOZDn0U
Bt6gaRn086/MaVxtdZ7u0cgT4+BNbXU7d4HJfttsjk6cxy+ykvOGUs05xIzQwmaug73KuZ4L+u4E
VsxIzYVN1md0g3FtGIgNGouy3gLmrO8HLbfBcxDu28ac8sbg8t7JPr+dqbjOyu9lHqUeU7EtrnIq
xRUclPW8n3c3WRXzoQv8lTuWbOI6MZdmM2BmAb1rwbQJjZG5DZvFIdi7MXBYAEHTNm9Hf6N1Qosq
nU+3UFCHFXm/WKRqM4o9DheAJ0Tdk28d1d5krDK1BkUgqLaTXclsT9hGczb0ATYv4s69HwDK8UpY
3KwsnfOUIGtM/KZ8dFWR7dveEs+tW5lPMZ8d1YvCCsjgf1x4T5IFS+qxsY8sa+Zen1wbyye1ZfnY
K985+1pf3UI8GF5ivppzmrfi2h3zN93gNx0JlH6q/Oxt6lV8P7hLc0TTz7vvgczMJSRSLGv66gYN
gpJdCBaBO6pn+8iJPkQIc7D7JiUiW8dl8Yy5rT5lCZbA0GYJcpVYIrjO3aR+czW8hkYDSdbFpFxv
TE35fvh+2Zd9Yp8WHTd+iid0W2R8CeQG5NGC5DGqWpF88Bfy1cOEBexLsGAlrPAnIOpKV1TAIJsl
YsLslvuMpbC4NEYpgg37aPkxjQVGe9OQuOLrpsCp6ep1d6E12fJEE+J8mOqiejOxRJ74jPOWAHk8
mLqPTCDHlt6YLny2uuH6IdTZIaHedmRB4kwqESlOgCU6Ip9wApr8BEMMCgx5h2B4gwQYukbuBo99
i9JJ2PqiReisAmJ2Ap+0cLEGngPzSB/JHkpok/w6fw2AL++CmvuIeprhXRbIct9LrN6K9v/jgr5x
72AcZ1qtdWa2ywW+01WBwE6u6xNaKqzPxqclwO5kLtxbtrZC0krl9A+U6zC0ctsBAFNyhk4Nb7Yb
NeuEeSybN7bKtMgo+CUc7AkvbYKPYYqTettNvYlgNX8zfcz+MXL3E2/E2BlJNdOQ9ZiD08pNr5Ii
mLZjUgb7XOMXGi0efSOR9CwlgIwACojvc9mNxSYVU/q1FoFzgPwCwcRdzZK2MX4U/Sz3pDYwUQ9G
LoRF+TVZ4tlbHwPPbLVBj3qj3Add8nUYO2+T9tM9cJPD0MhPYzpnpwrH6naMhXvmUejdpiM3pVHz
tnSjlJdy6GBPFdznxO3EoSm84sln/XgmTHtXLV4ZJcskhqhSBUK0IsuZUw8lF/W7JzctxbzBcx1c
WxSVeLC56+HBMUuGIxFafT5vl47TDcyCRIjLc1fYfG6zyl+zXmOYyzj9FRenf2tJXPXoM40PuR1b
p2nkiio4UF/G1Vmrg5TZSMI+kKsBhoC02aL/q9ekaq0rGc6ysotSu/BvDZfxpa2Xr47DQdl1nB8u
Hs7bhXUTmfLdvIF4hKXYsUb/Nm6K7sJQIyfZe6U1Bl27L/Vq3OTgZaLKHJuNq3jpDsTSISOjfbXm
qM8paQqiRsmxaoe5grG0dVl5bYmh2aUMufkRKnGNH5e6ujGbc2kILibVpmMWVoZNxAPfDuQBtanc
0di+n7oqzZ6HAtmMrjitUEaWkaNDGyriIcOnPyU7ORNH4DGUbEONoeRVnji73s4xLDWdGTkWiJt2
wDUrF7d5yCa+ocVDAorkA3W7Rpc68guvtCks1glPgw9SJHHk4/s/xctY3fYjZ4+WcHqogJu+kBXf
edCMOysneSJBQnVlxab+KTDG4Sw1KABFM2IzWheJrk5Pj4V6XwWJdjl02bWVWfKjluf99Tylw2Wc
L0+Zbqknv8BP7c8sZdF8O4clyJYtM/HqWmhdfFMWzx4T601mITFJ1qXvkD1wPz92UmdV5DfaNk2q
NgJBQZ7J3JtE2M0I3137k+Y0CKM8HnorQfyoZWn52NacvF3NiaNXkDFQS4g1LkvN4vdD1rV7uOb8
Bjt6LxUWWD8intsoYOZyGg+A3O1uX6dBaBqpUOHQByhj57LkMMtp8tCKmTlLaiPRi2OtWj1ApIHs
si46BkAzOuwuRCQKq9pK2kEPnVi1Vchgm50xe2/VWli+sA9jAfHH9mSV/bhB5cXQZQM4gXC086zM
qVp4+JQd5x/Ck/iuNVUGeqDIU21vgxFLTyoPLMnWpmLJdbLl2NRh7I6Q/BAhBFC7Q9ZA3ls/56kf
+rKovgqHbCkjS7wjlk1hRODVun5rtY6+bfuJc332VyZ0NHTDcIOhFLt8bo8BCdV+km8HkXb2ZrFG
Q2LRNPoXv9DZCDdTea9yaypDYbjAMSiu7SzEwyZPsL+KTSb0T7Y/HkS+CoRmqwptBimI3ri/ODjk
rePk2qUBRQsvgVeROm+b85771MRZlzPFGkt/OJgt6X5TG78WqVNsIUIUW1OHzN94rfERIvl0NfKM
NsIp6fRNbZujFgWltVxxuyafk9IjSq8wei0svQlJa6lpx2xioI1mvOJ8s12Obxss2OqzZRejbNIV
kF6nQAlAZiMFmh35i2H5OlX9vo4PWFgwrXRIl2FG+WMLJsgR1nx7LA4pJkQWg3311lgt36ACw6Oz
iLMprUqwBSDBc2O4gktC68JG+FoYlFVZV73y4KpPvtn6m9mkz2D5BsQDr4pztk2oNzW2wovC7YPt
IFs8+0hVHHbX3IMW4mgEdV4V32ObtF/xjsDPCvjLnu2Pd8v2nuM2nidSkbIMvdF6BtYIjPxILejA
ftHS/IwmR4/KHAQeLdG1q1j0+26jX1iBjb1eHlqKiY1rKnlJMrru4SWhZhoos69mC+FjaC7UWEXQ
NWcOP+c8wEfLQiP4VdOKHfXH3wZELNYo6Ihr4/9j05qYCecB76erjMdRn89dwfNFedlrXY538cwj
/6+boJ+6ZC4GVie8Ei5zZj5rY/tNP97b0qkSJcqDbClI4cXiXKopTeo6BcACQOt3Q+P/mvj4c17L
+oKes4Y9MBf/SZtbdxR7tlusOcit0kJOzGaT9bUUm5wLa4D9uS16rjUXpcLN+yNYYUBz9ykcr11q
IE2MC8hLYIvlfuqpcf76+zDWLva7Lpf351BRrmpNtMg/olCTUcU5T6/iMKw8DEeDlDJM5H4gzPjY
Zp5GmLKQoZ+n5g7tuxMl3d9OMg1YF/honVZqOj/NDz8JOVrKJdgjOwT023tHS4BH2epXx8BPEwte
hUEF4deeTcLij6fAmI0ydnHaHFyb4tkl1DSq2TtG+KvoM9yiscKZBflVWlD0/vV3bP78HVOiYMj0
AU8bpAL+0A7PRmHLrlRE8/QqiQ+lDQtFi+PgBd6Lc+4bMGPXgQYRpWbDUbBqfdPQqm2ZsDtJBIc7
BZecdChI2hL58DZhbL8jYbg7UH8HF3lTw2yKjXg4anFP4/r+7v+9oPvFgm6dofFD/u8LujPWg/Fz
MX87qv7jD/0xqvbR+ZMDzKW9QjAw1//DNOAHvzmgTAmB9bCSMyrmivhjUG0Fv8E4xc+t68zXIGh/
s69zf8Mgy3W8Eq5dbtu/t6/7ab7FAnkN/nlf16Gx/2G+ZblW2vlLnJyIoB9S2nieR8pIlp2l6mEP
KSI4SeYWhBAdBRYgpLONH9zJRg6HDoPQ3kKxsdfRMem/GjebfMbvDyXswdju14xeE4zMj0fC1Dsz
7j3fPXoSfc51EBT6tU8dyXtAWwnlcmzuM8PW7G3WxeGQkDarCYnMagrG+AtLKOO2Nxy/7bZi9irv
acErdDWneLEiO+2NZxLOBrfbllKwiZOuBn/OYbZ3jfvM7zWUeYPmH1QBDtbWC5Cu4LYgm02od7yi
e0hnmRyaSatyRR1Ttnd+3NOT2R6CxlAr6uDkd7QdjYn9a+qCD62PIHNEEOlbNxzt40PQiDJUXVtR
CpQoXsNR5e2naq70O5qzBvmNjQgnAqagAwZF7mOwCDPT8oRcFcMbGu8S/izbstu67TeFStSOeeEj
nbO277KlO1HdGPuRBejnTE874AfOtHHz/ozE4ySQcn7w4N4jy5jmvdfTbcRxKk+ThtUw8xasVWWQ
u1etbc0XdZLitUUCSiC70dxpdvCsW3kfamCAGhKcyvSjifrGC/HXqkvObu2WbIhgirx0ZrObyeki
8ZZ7nR4dYzH92QRzCOGSco1k5xea/QmqQR4GIu3DCRvNEo2Wnrl3ul+IO4nsEquZX904cvHQ9Vqd
UVxaddlbDznRPIBgtex6WdqtPccm08RSfZh1fQrr1KqJwxYOpKKq3glvSIvI6Mi267H3EFTuGYfJ
isUW9Y0WWouOcFUXjC6WQUVGm7i3fOvtGa17t2O1qp8S4glOK7zmBKSpTDZxrZcfxWD0IPua/K1V
rJ2iYtTEfdtny5VVm9OFRRrWF/xz7s6OhxYzNZ8eHu/qPpTdaoUkc4Dv3d4trUKDxX4lfS247EEL
dlM0cKWFC/OVO91DhIEIRJ4d1ZORDLN8b7cpdEZtqdGSoStf6sG6Swfst6OOGzTpspRLuqu8eKdk
0c/R0truR4f/yKrp1sLYD8YtCjbj1Uxy8L35PH81WVVfQgK1N/4EsMsWNkjlIc/d5x5Accd4MTWO
pnSh5TbKmtNoGbx63ssGzmjoOX0PLa+tPDrloAWHDM553pRJmTD96mPtgzP1lJm2Vg7HYOqMcyCc
xtlOfI9HYhi7nsa9TC9gFtfnKcUaYQGxxMaM1z3vJSaG2XTysPZj+3OlbIVKDkslEiJRXwQlcj7U
Xm1xSYsT76wGw77pZ+vdBSDZJjnJjuV+LevRobMiufUgTTl7SK7usRi6hyBVyydPLtM2Vr19DNwc
54eLOnojDHTtnITqWaazj+UQFg6kgmSpjQ0hpUVAPmatZjSGnfdSx14wbpy2w+fRIPGUV1YlQPcb
C3GgGB08ejY5pNUF+F6Iy/j45bFJ3MbZ9BwiaL8RqV5jMXW7UGbkg/elrW7dTmLfX2qIc+Fc9+W1
zY2xV4zF6F8a2Wi7DgWs3OAWdK9cjoMzMUcl7L24rB6BDrd32WgNzXbCW3kZt6q90Bhi9NAKWv06
8/Pmg9eYWrkxxsze6A3/3OUaRX5rzOlJLg4KXTNNbzJTFQ9A+uoPvoPqOZmxX5PYiaNIYP0GG1kU
n3P2hHWYYbfEu2B17g30ZpDXwkoW2EVtG9yZlvKzracjnEdziR1zZ+tV8LVbrPY0V4Z6Rt9eMhsw
5J1BJ3WYGiT5mouChBS89KCbucSD3ab2OSUxY+cp2d3j3F7ykAlhekudS6gkw+E7kDAVtAjKoxsU
TgIrLNbgMmLk2r80M0Cl0DZqToduzsstvXzxmrarJsUxJhoiRONoQnFnpOFs+QXIu3lIr7Vp0IqN
I3teDpMCeDRzDu4CLVW71kNIzayZl0gCnbkiZ/Mun6382BXwClrltFvOhumYe0X8EYykwV+46Djn
uckLy2I7ojc1WNaFJQFibLOOmAl5F0biACP3ZhOCtd4buAAmBaSGLI3xPPiu+/6zHTQ/PVd6p6WM
PvmQ0vC2rDM/55ausLviaC3ayXrMjEEcc+H9N3tnstzGtWbdV6moeSqybwY1KCR6giBBUmw0OUFS
YvbNyZP90/8rKSvC9o2yf899B4qrsECAyO5r9l7buw2s2OBdi3dTqoAT0cmsm1GrT6ng1j87+Yme
TLyPqmLZ0hUrDBRjGBmFtvZ17Gl1badnsHfezq60mhfMo3lTcqHbqyHxhzOuAD3EbUakeDwBLW74
g+239g0thrw0+DaubEcC2lXELrzAre7feyYzV5gQvXVTVONuqUtg6mbVO2epA8l18hJuHanX+xvW
OvEJhQsSfh6nzZXly1ExbcSEHhpq9uzFND7ZrHWawNpODeTN9Th3+qObtm25ka7M3uzWi7LNFCCN
pPmPTIG7RUNM1OYtYxE/9oZXgLZL3muW9IATe70BRRxnj5RwHC7E8Xba32i6nd1NunufjcLZpSlI
741lIy6CZhBb1yoZXOSWpMLciKy0D5RY1bepEu22Za20rlqd44WhYmJub6XlN8thRqfpSf/dBGi4
0YkNWB6iTXHtS2WcFLczriI1zQyMEfCvqLsAXDCyEZwgnpm90u++KPgEawcgvw1BIqjJqEQfueKq
02wUozADYBAIPNcaSqI7jHftuUrT6WK7RnI/5r1urV1lIBqGF6htGfTcAULgYY1M8hoPF2knFZfY
KaGddNbBqJRCgp+AC3UKG4kozpu1SCfvfSAy5M0PJI0jKU3B0aPvWQpMB4diAaJ0Q5xIa68aYEoH
P2XtAEC8c09EXsw2pPYcx/qozZ5ceWnan6QB6RU8iUV4b1PimggpT5onMyX86YI8rLB3HQ/9C1ct
Ogidc0BsggrySp+i+wqJvi7lHtebPQJMEDESaM+m/qpyy78fR4PUVKRbivNrcgk4yLjRxqAJd37l
5ul1E0/ZGHJrL84LRemxMQN5Z1iD900KP8UWQz/M2D7T3qHWo9ZiTlayOGuQymsL430VGzOPDKjk
3S4BDnNrJlFc4EzH1xR1HhbFkk1ICOlQP9Q+GdhsjHoNOkDnorrqZGy1V64/mdVvGeT/tnV/19bR
Pf1VV/e/TcbV/ar+0NV9vuZXUxd8cdnDwksi08n8CVL6zQse2F9QX8P2IKOCnEEnoOX61dZBZuIl
BFhBUkLG5tEM/pJhAlJcnM5LawcYcZEm/RP9kb/s8X830TFI0MbhioTGQLbMJ/3TTG3Rotu1CW3Z
yX3U2I7Wn5uS/dAs4vGI8YWlgFalU1gNw/Qd9rd3cjJbgpNh9XKHG09fdax7XnPq3uvMsYPzXAq8
4WmaMCep3XIdKds7x3mv7qa0Tx5omvJd1i3C9cg1vlUQzjd56qUMTF1mGEq+9SpN96PmNwk40wGf
hurq+V2vWVcm2AlYXY+Zed+ohDxG1j5XwrMQhFoKRm9bXnPPSRgyi2KtpUzjWasOhzIpmBYXmgux
RYu8I8U1l7TIxxsQP/muzv3gNKmopzJ1R/Myal1wZo+rXxtTgv3BmrQetbolt6bHcs+ozOjZCJLg
bGjZrYEF7lpA3511RueGK/AcSJs+QZe19WFNE4+eYnJD3+gZD7OJaG+DiUAM2OMWTwAKXe6f6CjJ
066/Y2iTW6vhCS8TAPJM/7Kv0k5duRpzO93VmIL3gWoRb9pDge92MsIWXPNT5Sfipu3i4dKyNn4P
pmF6LpvOukSZP+2tKW3OrpWOF8YOQGVN9rJSON2VPro0klY3ss2LvG3d5/3OMzJ+jWgcVxiVGHyW
uIYljPjvWmAttGmgSgHGyzI62EJjm5pADsooRyhLxXWR1YvgXTtAcskQXVbzE7MsuZOydz6igEpZ
pW1y1brgPAh2EgRuxcWtgUfG3KL6z460gULbWHPaMdWb0scIWDo7KLeACILvmb3pcF/j6X0IWGdc
z8ANr5nKj9idGitBeGADcOn0/B6AZ43zE6cGUIFK3ztjTkENf966zNQH1xHkve3kYTBkFOB7dyVQ
/H7Fat1n3Gr1Jxem5y1bXO9YsZwT4ZKy/A6KpD4L183309hZV25b57uidhMsoV7yLLHdnUtCOy4F
1cB+BIV0RntqXZmDU+2bropuWiIvHtLZIpajUPmh0DoWl2LAUVc6/tmUmA4xXbrX6EeyQ2IgvkkJ
VCgg6in26Xbs3OT1cGXG+CD6CpWRprebLo7AQ3Y+vf/EZn1j1sJ7ldbww5GYD6KJpyqjAocIBWGz
VwO0O3ml+WjZ2fs0WDWRzZFtvnh++VD11vyoVD1hWC31SxW7brkaiQE4MufVY1wWWJTjnu0JqCJX
vpKAm95SG0nA82i836EtxjuIQixi5yT/6id6gTyFyAWdLddVGnEQB2jjBHEAFsJ6Dx7AUu0bYsu+
WbWZ8cDs8hCZg3uksdiVpe+yHFywAgkLq4tlGPmdI/K9Ow3t0RVzebAzdqKqRgnScbN8wYCeHDyn
wOOVQNfyVMsiuRzTO0DE9o95hP5msacLZx7SqxSP5bOna+NXr6y1S20WMNfbGs9tE0OCwpdc32rN
uB1yV17JpvfTMAi2TpsWO6EG/RolVr6T+aUnl/JZE0g9MtciDU2PLKjevq7CHKbiudT75t1qJz6J
ra8HffR2lTGMmz43OpannuU/t7ixic7RCZxilTFVm3KeoptZVdmOJmJOQMM4Xtj0oxsgSqc5jDC4
d+WsaPSqDokPUKKvEZguGg1o2zTykeQ2pyAxBnWjX0W1rK+BjkEPM7TnFLO9j5tstjZJHngIcaQe
Bixlw1xLcAdhNs91pW8qncW2mWYV7Jt4vhJVHFycghmbgo1UrJY4pEuytDieV4ZOWatXN/XGXYpJ
5lZXBBXjGLL0c+8vcDVRQEOADuJuCtrtR8o3/YxwJn5qfBuyxdyjmGndPU/EmSQZzGKobfAf4+Q8
qRSvN5by4MT0u7lt6TquYX7IR00k+VllRb1ZfItblKDReobOhSZBWk/ZUJh7t+W3bISPDGBMzR+z
F3VkdAT1q23J5eHSzfZzjK78a4v6Jl+5SRawXQ8izGZxtmGTTRSpIeJbg/Sq1RDYeEsjOTKd4qsv
Y2deT1Nbb9Ro+lewTtHgQ2+PbyzQEZxoBtM+jdaFI4sCCkI+HF1k9YcsmOuvOWkCCVbUTTaJ+Taj
LN0gu9SJl2n1OQ07rbRXTjRuXUmGu9FHJtMkFC+DNLM1LlB/1Rs8bhMu8SslzHrvGf5YrcAcBS+Z
6ybrohz0Z0BVYs+dKaabMFlFus4tKkXtvbY9/Vi3vrYtIk/dGAn8eAcZzta1I3XJp8H/Gg0QHQxd
6vc4zHTezoOVP02au6V1as7NJN9KGBTv+txx+++adgb7Mdqs/q3BYBnNlhIg3pVT6kywVmWD/mHV
sbgoNPZnkLS4oyX6xbd0pqosoKOHzqEQYUgpyesqraC9yEjm+woNAzNAVDAZwy0yI1ae8OVHgLr4
0OcxtmIgTDQYxWbyy+K270sWU0734jROhOVYET3rd0P3lrXui5PEr7roPgA/vfgk7ZTGTNHNSIj3
k8WhgYCzaWTywGCrPtYgSRBkZCZw/6F8ZyM1PjWCF/YloOdXN5naJjvWEb9Fd6ylkj0AE3eUs3tN
qVVGLPnNTHc2iVlBkCZvIj6NJg1rN4ydf0tu3+Q+K1d8wJq2/H2O9TF40abYrLdaTzo3yU27DrDI
vCOzt7pOaqlVLzU3UGqvoF8bo8gwtU8RnYGWNWs1pOaaIi9jYjuVx65JvBdG4vIb8PgovRVjnF95
sWM0DwS5xIIIpyyfS9rDAZ49yC8n/U58rtK+OlKMzgYshCgXbW5GOI6XWFBZ9GnXBFW57V31pDww
B80Y5Wt94ki2kf00auawdwlHCKei7c78y3Eb5B7lJIEFSWOfOjT6mEsh6a+yiKeM5vXanlrkazkz
mYyxBx15gmj3sZZEpxFddxiVxnTugWCeG47mkUnrqo2T4dVm4XVs4OCtlK11O6Mcwcx1S7llzWbH
dIIuP0kOmdhmHhCZnhZ67+d0uJn0kx1ubqLdhH0pZpLZoFJEh9mO2gNYenFsCjM5tnp0An6CyMkz
6lMs3HY9QSP81lkovv3RmVh19MjaEJ8A0dTFIjUCbAYPd8TBy3ymFeA6HQ7zvtNBmrW5WewcOP4f
TCgpo5nbJmOyWthM30k5dv0npXelp947G3+481VIm4ojTCSZ6vnP7e2/TdzfNXEsx/6yictf316L
1z/0cJ8v+dXD2V+IvwTmhRzEZ2f3O3i9738BFmZa3GAZY/Ani+RfPdzil/McejR8d0jfA9QMv3o4
/QuaAjbMDpp4/NnBP+Pk/rGD48kCBX/5FLSKpm79eScP58/EOWVr+0Bj1LRkksz7LrDVw+++k9uf
LeHvI4L/LIxZ3sZbek7eTff/Y/E+G6oBac91q2aSx7IKbY7V6f5NMfQIn//6vf6su+C9lt03XHCU
+/TPHL7f6y44FqkKkDbvJ6MKbgiOQG7lLKrkWR9va7fgefzXb4hH9z++RY/buOFgk/UNC1n4H99y
JGlCGh5PzGRqGJIJgltOVdOhLau0onJCP4BLjrfSMresp3pr7aABmnZuNZiMcBxkyk6PenbVjcT5
1EsgScDSj+otaPS3EqbGSQYq2H2qv4e5SXYFIRmMisbyODXowPMMWWquNe3XT204NTEPA1HABJ+Q
HNpRiiDZisp4N0mdNJlITRvZIpo2NXv+EZCz8xhndvPo1dG1jjICuk1ehrS5+n42rezatikbwji1
uoupuuJjtubqZraG9KtJpCGISpFvHRmXsICKPkS0Nuz1SqAFm6UJiUev8K5PA8+GkTFia6krz2ir
c1P73JfzzHplzQUcxR3kegY0tZegxnkEj4Gg89XM6l35RQFMphhh0M5xR3c88ESg/tvqymRgmmnB
kK3HuPEUg7yJJaV6QZ/hTOqEf4PpfekBjRoE53lIsiWlkm4V5RsaW3LCush/SoPMvAsiPYjDQVfB
99RXkAnwDXjlqjCnii1DmhAVQ8gQTyLfit+yOF8ACKWd3+h5Tygk9U918igYrqauHB5BPyKqFEmz
Ns2ccy/Ffbqyk9S5SSzjLh4TnUlEOt2xDHA3ymDsW3hVv61Gvd1CS4KTNVZu8b1ZmO5xGb9PTVqD
c0LtHgV+V68YVMbFRvHlxISsXUsCxp9sqGYXq0zmkz4LX61gC2cHt+x1jQ1SKvSVVmn3tgvckn7C
3vdDiVJwSrKTnkbd90i57VtmLGuKOZpdJrdtwiKS73TNk+xdtnk4GENzButELpuXfyc6bEDNYl8J
jWaJTMevAelTnKR0tvTF8Qof6RiiIwJLhQ8rDETiYnxtr1KtsVHx46oNXd1PXx1fB3Whed8s8Ebr
mACYzei58k4MuXlyY3XrjMNgrBCb2ccAxtt6dMweU6kNy8/of4wQsRAMae11ZpbzWztWU8iRdd7q
MctukqA019nctnfSaRHitP4d+6Fk0znzs0bjfzbn2NywdlRnzZvnzRAwJShLFJKREfTbCeJVORRP
noWXap/Q4/Q2ZQs7uveSmt9cib5bpMVkZoPunPyaDeWs0n6dRUXmbFwTclA45RIJOElk03jIAz2a
ipDiRNeRKmvR/JipwcZUPJodmh2+iApiyMQg68FuUj9qc8Y9o98PDx67IXDQ1FAM3hfukiYymDUO
9lRytZAi7AYEw97zCBEGGSSRhc6BQGLiW5Ncm/ytSlWy7CiL1iXWZ5gjDLMO/9Kqkz46u7LpYgBy
TTncRq4WUYbXrlTxVSCI6iSxUgzOi1nHHQk5erlA2YZmDMzHtBs0ZytHZJbfPfapxipu41Y7gsmN
uuY+K0RZgG4OVPaiOXV2HyyWikYvuQ1Xhefse73NHz0xgesSlgmKaMBFc3TGviLQa+4R/aMtDXZO
a1nHwQTcZIzYaMxCY8c7Im2diKAKjAcTA2S6UmQ9At4Vrrif4OW9u2Yp4EixgdvaLL8OS64Duyu7
JJigI26S7h4/B8ySTVt0lLWFFIKL3ScdAh0KeU1e72EFcIGu582iWV9cKCVsHjStuMw5Akirxob/
J9lI3s9KR5btlFpXo5sfisto2fUPG/nPiQ9CwkJmYtip2ffO686FhrtppqE6+JBTbqA7uq85VhmI
UXlvbDG242oZmIWFmV/w2chH5r85Wouhw8f7Yum4nPIsdee1PxfVfVTECEKRzHZoZmE8d1y3+frz
UfdvFfh3VSAN+u+KgvVr+/pfaLLIXzm/Fj/+57//F61LVf6xCvx8yW9VINoqqK66YxHbjBb2syj5
bZJvkKPiUx4uU/TPGT9D9l9V4JKZwqt83/qMUVhkXb+qQIMIo0XoyZTHcAKYIv9gkI91848FDCJf
h8+1bASY6AN6+JNssJCeUmPmDmRugc6U7sof2gJXBK6nSr+q6s8Mn1R6S6JPZhZ5oT+1mBmNTfYZ
/GP+TAFCYIx/IkeiXBMQ5PWfeUGJy4AH9WOXlgm5zjV5aeXWRvhVoD4Opj2qr0EDWsi6j4yPpstB
IjKdaruyra/LfEqBn/YJjzOCEUqwDel4pKjq9QND3el6soV4SC1ZH0vNBRoPkGAABhqFOsGUjFVY
NRcEDxfpyFXhIHl5wIPFxQShEIlsgBdmgdujQmB4jtMHFDlFm0s7fjcvSbR0YdwPylb118ibiDo1
45Y7UkMiKinX5AwwZx8xMY2ILjEBBRUTyiKS3jkIWsT3iiZ3JzWt4mcuxAcaf3xRGswCciUhQtQC
NkT6iYkA0c4PLu0UfESxkCRMR5Qv7UKXGD5BE9XCnMC1xpMi+kRRkGcxrxhiEU/uSEgVC7NCzFgN
QoZ4KADGyscoIxqHX9T+pF0I4PqnwWENoUw0abaRAUxixGdAd2pOQ1UZ9dqzvYGV8JJpnGSDc3C5
Dz0GKWxasx0CtUtSW7Zbsjp1grM51eH0dpN+kS7qfW6BxQ5PkSBp1xnRHKQtUDY2Mhr1bdEj/XZt
3GI6UlSeLX2xx1bDpjfqO39rDsNANEVahUVk9hGorZYk8yYClsq2PR8+PJHoRBeg5cocrsbtUlwB
wrSn18LAoLYNmsLZddVY3xslOI/MbfNnBpELQbZnnoYsr2VYEi/REI13A/GCQDkzpgePWaSGdZyD
ZdKN0eg3UZTLLcK7kRlrE9yMjqypahq8hNKOAEiK0VtVVpHdI/NhXezEHcVQqlUHPDnmoSUue40N
V3xbRlTsBVIjeBNFb1DOq7bPIBhK80GwtjkMyKZgj/fQjoJSqHvf7t/1wdHW/eTPa/iiE1j2fEoO
lVdbRHlGY48MyPWNU+HmmGNix39ZmoodmCKS2jFUGQayEfAViuejtVZCPjh23pylr89vSA7EupPR
9EjybLEXMw/mUNP0IF3VGsNOAk9w+FRjeSbLOqU0Z2GfrMwekheiG1ISYlF9dSPZrgYtKA9lkERP
LYUnOoZW5HcZm8BQzUiG+rbYtRUT+MYTNo9vO9MvTiy7cALZGmwrvBwDdxZkxFc1i2jCptv6pilE
sMV8lP8ojWwi2FdV5I8Tj9yT8rkqRfue6uiGyAqF0eEn9j5FiwXBznwdh+nJyRsHfmwUjOugN70m
W0vL4TjCK5Fx3bm3g4JxyttmDnb15t/ZyM+H2988FT3mE3/1VCTupvzx3ibvXfv7+cjPl/32ZPSM
L8uzzXA9Exmw6S8+kt+ejDA2PAabTFOI3iCDw+Wp9duT0SZhDOgFulz22z8X2b+ejLb+hfU2Hgbg
HJ9P1H82H/n0hfxuxw1Ogekh4xE6e3ge8Dj/2Ns75sQaHuj+nmwfY23GCTPHuQxCp22fJzd783VW
v3U1Q+HqMCJRjyEvHafs6JMeHuqt/wCzjiDQvM2uxy4/9b6tAO25rOwaCwsfQjYv5bqeOpsrid0M
D8dCXzNJRtHhy2Bbk4kdBm4XhF5gXmrRk6NFIMQqRZ+3MaSHsogCdcVAsQ9TKl1S76W+TjP13OcB
w3EiaWRdmaHrpG+uVuvrvOCfZwCPQ56UzaHum2cD2ms4Oz14wdnRNoXwHrVBv0st461H2MRr6+e8
SjDytXRulZeE0JkukNjUyiz5fdx6bDd6I59dIyXneumbsfBaRAlhrh2J/lv3GrTVxj9EZdtuSEKo
sYoL/AVQB2ELfZiZRtSMy1dZ+Y1a65IfimYamzV9Jb8CX4MO3zaBIyga/hWC1yTsa5s9mDDVimjn
ak+sGR53hKBrV7r818y+LHkgm+WVWFF9/MawY2dzWTJOfAV1brUbNIbzJaryC4TnfpMr3hIhqXPl
2JKPP1gYbiUfyKrdbA1C6mumFospEc5rJtUfUymrvbQW06aYWK9kEzffAH+ayDWD7yF4CHT2rOiI
IbrrKTZ98sy3dos9s4JvGTZpoB7Itc0Y8LAprrV83tazPu8Hn2/PUrzp4HgH39AIDuIkSSSWy8lG
il17nAfGZKFF8vFt68HDgEoAtit/FLpz6RM+VJQSdssWFd5m2ql1FRXj0Qtak3v9cha1/FsqzHMC
6HEtK2VuvB5buivcka+JE4tijAAOxzlzPn+MAexPRnv+Kh+SN4aKHPuZv6UCSGRvaOV6aH1F2Vfx
moJvCbUoBmGvnq91SRReo5rnz+NdRH656lkZkhTN7xvFnDJeQFtZSZYuHYiuI9b9Dy5yzmrm3Ojk
ODt9j1OlWq4FHkHT1zzmr66fvuEl4PiPAYsmRHTnjq+LGuZhmjnyg+Q68bBaHqEIztcx69ow8NSz
h+UudD2OsN9xMvlcjZ9fRllzUQwa/5SMk7eC8dyGEF15zE3lbGzBSZtnShyhNxh3hUprcGED4lhm
m6G1OGXmgnyBJqvAcDU2X6ne8xmiWF0h9R93yE+MkyVFQrM4m5sMOWzIGp3cG6yoyDU4y2gSQwYm
2bVvcqFaOjcCv2fLwb4m3+hcJwybkksfO+fPy8tK53mvGxAeR5v6s6PiW1UkcxPTwuG24yA7RrFe
7kb2O5veWC7DzMc2uxxbbYGJagJKMwZ8biGcAmUtg9Aa+G4+z/LZy+ZtVTfBjpUqKsYiD7YUhvl6
0DidP0+A5QznEr8k9lzurIkzNOi5vu05IDRxOcxtN1hcB5xG6G7aTZ8a4rVOHG3vxPyqs8Z7lZ2h
7QW+V4SoyRtLLQ6BkX2gDYA8QJO70QFKhwV8itAsDXHUm648eYk+np0R7PuQvmlRMq00byhP0GKz
DcujJIQ9CjvX4ToleMI4TR6cYs/lJCsLqzxpCkgnQVTcidMCkRY3BwOFezLauyDOFdumkR9mDH3I
dByOLCZlHOiQNqWpmsPgYkj3SlA3Y1LozDoda6PlETfFyODmNnDoyBoOdqIzL7EFD2E2kK/XgMUI
d+z7kFlpDVqCjzB0SK65RKp94XMHI47O+nlvMgOSFT8v2j5xe3QW2gM/O751Gk6JxrEvOD4YIAuN
uBy0Czx2wH1McqypoRKOXwXsLZZ6eRpdGyMtEBPaVb6aiSvg87smyDZbZwU/sjM4rnZJAU9ek1pr
vsMtcFk+e7kmbk1WnWu3kvnOF/JDLkrJokMpL6h8o4T7CTr7ZGs0zTvCW2dTapTRqBwfwUdXm0yL
b7UBti3Ny6INjY5TQtY3HZDKDYZmk74xs4FBD3FAzCvmfP6WOURArFwqAncT+Iu/d56b9M1Mq3HN
0htbIGrUByfK8rUi9DO9niLVHZMBvMbK0kUkYMsapImlOrVjXCXtbRzZLkN5FnPIlJqfpuis1TfU
lVilkRJgm3al1I416ZdaW1XfWR+824mOCT2yxuzDl5Y20xJr86xCbv/Dvi2bahsU2RjUq0aTsFtT
PMpFamNriXgUrU3DF9cB9kptm1vlAHLcjH2PmtlWxb6d5lZ7niK7D2O2AflJoAJtV02TE/klJyCe
Z6d3zWkDo0Jod2VH+RB77t+sZP7DpeixWWKZznZJJ6vxz/mIeaCZs82SYu8lExvaOf5IFj+/VfoP
XYNF0Wm56mxcwj9HSP+nTfXP6xnqKQZeqFhMcJCepf+pngomvOBBW3d7Y/i82XENWkn2vSTBjG39
P+ZvLe/mubjPbAP8lv+ndyOXWbPp97t9PnGCLJVAkCESg7Sq/zsa+/9qAujxDb7V/9u8eL8gQP8r
fG2qPPnjiOy3l/7qBPwvDj/KY625GA6XYddvjYBvfbEWk57LM+U3d+OvCZnzxdQd/HWmhZ+dZoGz
/NeEjBYBW6WDPJbNHEJY+5+MyDAo/XFExuCO9COodPxMxFj/cd52iZlhvk+q/chIeNgEcWYNTLBw
SMXMubZuadqQkCBhX4LEwnlvJmVyHlzYS6hNwPgSGWo8pCKxnlwVT7cVo+n7Hh3HNxif7CVZpyHF
GWZnXzdWsXDyDecqYfK+9jJYe+HAeK5YwyJOicGjJ7JOoC/jc2ZUXDfcrq1jN0tSEdht4INqpok4
+6xzQXsTbFJ+qIKmnyprsreZpuybmJ3CbRYLXFrV2ANilpByGjHhV+EQlKBIrdiMDz2hA8gFJ/fa
hOlRh60JF6srllE88BbsVYleYviR/Yte8KHWshDtD94FPWRjUyVB8CsVVRYItZgfnEPkmhzrMIrS
bUJGNBUIT21w9uiEAg/ppl58wP919g415a1bOgME+jkR32fXgXWDLko91WyK+Ll8sidyhNUTaqXs
Dtcm8YLM9slgEeVDrfzqplXkulyR4xIBlu5MRIgi9rjb5EVukItkIO1czYRcXEYQ3dg1ar5IyhNB
qoZFlMnKTscFNjPX34zI929FXqGfG+dGN9aC8NlyjQewQhVJjIYzw9+oAcVkhgxuHRWj2UnZve8V
398WuWVwyt1E7uC7D6cYQct2jEnpCROnrO4NQ/oXzeZsAdxVhCT1QdmBPoQdsTEeANvYh2Ti6PCc
xeLVedVN1sheu58XwJnrpcYRz8MQyjzr7HXC2lOhui5afmfD2rIOlG8D+K4XRKTmU03+BWnOBFa4
oRM55GJrhb9pWNgsI98puIw1IPNpsoN7s0ki9heQzTe46DQa3t76ZgqsGKTnaY65bmNtePVnMjUz
ZQSnuraIy+CRHh3tkVkvpDPK3EPXTbA/EtFpJ5NF0hAOpod7RR/9Esa3FSw5G07mkOY41N2dZ1CW
EM80Brc11ArgGA3JT8h57OuYDM0hCq3c1nQgASllXegaGLp20TghB2ZFmw41dSBfRLOf6Bn9F4mF
GOp3MMgwrl1LcHw0oifIFu/kAEEb4nfUGGh/9qJigXhs3bpDwyjllDyZtQrao8P/GopzU39GD6Xd
T0OjaLLEtVcU/VXSt+oplsWZkio65V2RBO8pNHUSDUxAT7Z2xJjhlWsP9u5XB7fpNiEjDONIO29E
M2Vb3eWvrYUzUc7R8Ji0ZgIAPK6uVRrLjarbu7QzYvZ3tcnuNKWswBQUD48uFY275/LWHsrIEjvc
QgBqOgcbYEjWGFk8qSnXbgZrSGtNFX13Sj7DnnH02K36zuzWzOLGKw2C/AFBpbPGonRXzf6pTZU4
pBgBySGuxuOQpN3GA1W7sVtQHRLLFPlM2ncHI6xEIxiS8LQbfXIzp8Q0FvCed1bTeI+mLyLaddj5
beo8Uh2Sx9R13Wqeuupm8HV8LZZJeNTMYVMBiN3FFdDnAnBv7ZIQXlJoIVogqqBWP/D5nPGaihfZ
ZAPRiTK/L93ev0mBwIdTZhPGmKv+1uiEtZVwBjGHxdMOJjx+Sn/a5bbehjEhKVvoCKzGNF7FiDED
t9Lg+sv8+aUSeGpRHdzMdXMNeZRO3FyyfayqYfJb4sx1Nf26acRwQzIYgwRVvWE9RWicGP4mIRFi
S6h2iiLDUWFlmHI/VxVWm77Xjinh8oDmJmTmXvStSky1jgwSWzNvghIXdBWSiKp5wpaNaqKI2q8p
kkhOjEHbRc340S3cN3BR06ZtQGr1him+gYFHNYPHyj64qY2nWWOvc+iQk2R7q4DzUIKG2QYBkxt4
ybBhkDnbRwxaeUgahnfpahaqybywEJflCDDAgrPCnb0zFoqS3jybk3Tjy6S9C5QUj4F0uGQRRwOb
7+LzDMb0DdocsogZzvQziR3F1ugQYovE9LeFgiRYzT0AP2DPTwjhtU3bL+FUQzmfS/occkMHEG1W
scDCuvKanG7tBiDRoxfJQg9hdhMMpHCZkkllMIUYEXizEU6jU5AVPoFopSPDvE06L8xMi9004x78
81glqFrtKuxNwwJwJZAgFDEeEK1GVuNVwt95yEGPWsOIqGE7vZJapz22ta6eOONKuU66ob7SrWaJ
s60u49zqZyuFY+23fNNdzmlgD1t9NFU4GrG9Nwn6XfVoCQ+N8NIflrKLH10B88qNrQKYV8vKnOeg
Ox1LZqJWmE7SYTWQGF+ruOvvaM/970TMRJs6kP5JCvObFnQfmMiiZ9dkBrNEGoTKdr6W8JWuuaYy
MFAZdhKD+9w8SUGMm41sNv2GsfQdaJCzmyuSF2bBGMNKpuepnwieygkD8bzmlXA+Atss/ZDFY4bt
1qx/RMIjiYfdxRpqaLrvwRtWoYkefDO7wrjNFWsi5AnZpTRc/AltieAavgB0JiwDhBku+bVxMyBk
Nor5vASsb+pCfe/S+AFDC6UU9QUxq8ZqsPocpXE6rwGvm3KFnKk9Zo5cihlJRI3dMDXlKbdBzpK8
mln2oJlutbYgcX2LTS/ZV4nv/WiM5q7rjQ9BXjIWH4lK2nspc4NxqdMmuzHTvWOAKvqEbtpeeZZ8
qaKZscz/Y+9MtuNGsi37K7lqjlhoDN2gJt43dDYuikFygkVRInrA0BqAr68NV2qlREVIFfN4g3yR
GaLojsbs2r3n7ON3B5oqAWunlGvGkqQ1ocLaJcOY7y0iXeyRXIvEMT7GakyvMp75RRGT72rUqK7M
BGSF1JNt3WfyULbDB4EAdGNMUUGLkkDZKJk+t9Sfy9YCFhF4Qw99c+JaB7mFMX2OC2OM2s6m6nwz
dGRT1Jr3yjjiEf9/8KRjPL1BypYtc8++qwzIWKb9ClXM2MdT15DIFMujLPry2FXmFzdXS+qCzw1Q
xGjV8ZGWRtEQMSdRHjRY6ddxhWG795yIWETlnsHyhqsoU8lGp3q8MQs3uK1J16u56WVWb8mZvMY5
I5Y2QyYayF4IP38gO9lIjGuL2JIhlc4ZHXC3JR7Fhl1vEkrZRV25xMu6cHuHb8fQVLCl4/hunFXj
TA9tEm/nYrMyihs86NDflH80ZflmxyEhtshTI00nkbG5ma0LhAY39AddnBX5c535pOg2w71qultp
tDeMFU9Ua6RjO9PIe8+EFHFHSg1IgvuY8JqTpYYh1LZiO0CaJOyrIvG8KyevimWEx90cXVo3WppP
t2ZdpMd/NRH/X5R1TmriVwe/c1R+/vKffZO9FJ+/n/8A6Z1/8Nuxz/hjVp8aDnzsdyZHZkMwiQW5
27NwdPYxfjf+Ac8oPGads6T2O2GE4K8TCDERa0PD+SdHvq9Huh9GPx7KC6jnfAZGVGTC/Dj6qWoE
TLlPbI3mNsxbxqj8gFCwjdchNFv0+fajyvv+lGkyprxhQhLa2l5X7rVZElC6RCeeriSbwh2ap4Lk
c/2BxQ+4mcyqZFMK5a0mAKX7mqw6nOeai5EfSZ3XuNcyA5ppDsZtQmrei2/lJ4IFTpamtkErg1Vb
2/6yUzkBVczOqaPit07v4muSzOkgubJYsI5XdDG9CdQJY0+SFY6lr986Bqcxv1Yv5aCGhZ2Sky0w
NNUtENKZ7JdbQGLd0rt2LSq92JVLCdvWJ3VMGT2LAJwCEXcbYaanbpxuMTIfye2WzDHIaIziFwpA
VpVqerXb9ICK6RU5wmM1NoxlYH/WeWT9iUh9F9ees5iVluuyCaZFoXnXRms9pn324kLK3Ogzi6RO
T/MVQJjlrUSavSWyIIYwbJONNTNELbQbi24ODe9Vfx9a6uwVA4JR0wn3LCGvioTJ7bxLh+F4TDto
sVOWxUtNoRHVAQkJOz6YUcd4Kh3unWg8K4mjx6JjPmQvdZXAQbOv3Qi6xAK2JPVvesCB/la2463I
uFej1YKBkRA8RXqYEOijaIyY14M5WZglF8qMqA5I8W4XjBejdZwiHes40B9bEKJ0oOZrGeUvnTFi
JR+hQrcK5eL8uyTA2rVWTUyt9dvWVFusF8cLc1UjjEq6JazdNHqzMv6YbcSnNB2OnMzsnVf6ziKJ
+YYlYpApAAObtU5GWryFBrThF6GkSVYRVEByXpNDOYLjFOx2kT3cMzVaDWNBUyOq2xVIwRdMVP6a
ENNXIqGOyAriZRLVMaEa7mM86J/oi96QAkz3FH4ceo3dZHf1jhyVe86XuziWLQ+qtQvJNl9ouoce
tsXQ03XT0SlH5IOK++nTajkwkvHXVFtQx0g6WiDKe2DW+upbql3kJGAhuMwOhtvfI1G8F0P2lgMz
WOrsqasuH+6twIgwxgO+BecMgdhBToTtiqHpfN2NwkGNIx7LqiDEV9jX0hbuBvzCPfCHdhEhNaU6
cR5jtx53zsDjqBnDtTQ1+UzWKEPXJCKecKZaEiyMDHCAtDpWgvMCEp9dNUMxq9Lu903uePuh17Sb
NBqzdTXJ/KbQ5EjQIJEgeVRxbtQy6xWSz/PY186V4aVQW5mmxmQD1pQmycpnJkO/Z1IvgcuBFKGP
mTlbFDfFQ1oED/nXLrlgeIEsmUlRFFyLIn2umbyQKJCth8gBwGPFK9mO9boSQ2SsOEA7CPuHOgQZ
QBuesdc1naPbYm7Qc5h7KOeWfdPZ9rrv7JehGOvXosAOA70zWuNgJIyUgGs5+c6GLOduhR46uDVa
u6UO5/GfEvO1hM+P9jIH3dTrS2zQxsZyYZfyKYiznXgMgcYBGWDIfiN0t9sOJg/dmLqP8yC8Myu1
D/r6TVP1EYDh4btN5y+8Bz81nL2ZfYZSgFcfS8V7HF9M0d4BBCl3dOdJM+sqsN5ky2CAO03AXL5q
Qf62vc2mJH/cM3yQalgpbDTUBAi8azj7QnWFg0t2F869O7QsB/Tf0cKxWNB//b1+auDTtLdsD40D
qgRY9O9+k3JdKn8CHXdmm774AavhvBwnhsJljfi73PNP+ubXv/OdThDQPr/TYwNHdejP///HHTG0
CjhHTVDsxtaOcEv29+XAi61ZYocKOFvO3zfLpmPdsLr9+ldbs2/j3ZVFiUEbGKSibdCH/fF3E1ip
pgSv3o4ICGuVlLl3OwZONC8Xx6RM0h2c61fFfGeTqr4/JD1BiDXkFUy54+usjwqL6ci8hV0XjrU/
8+g5aq9NTx2Vw/LtOSaDM8GzWiYn+pOb3O7PQx4+6EjtCTEQ1x2Nr+VQwka27RLaOJ3npfBYHn79
Tf/iEbJohJukZBk6ssd3N9bMYj9HMV/sIrPZiFK/Bf1/y7mr+s0VvThh3l9RYVhzaUWCwU9ATl/h
/ORf8qz6aKGbYbgdjVis9YxFGNJywoQtBdo6G0z68ZYhaH4XheyhYgrfqp51eS5VElop5NUNR2Yq
tK1Vd6/5zrVFNmzksdzbMs5JtyL9uxrM4TFET7NF4SfXQzzGx06vm3ORDg/DjFzvzFgc2tjD601r
+EhL9I2UWmdR4L1f1ITJbwcteQvK6cELu83UztoSae2ikTz1qEAYkNNPsuRwTF1aHWY33WKPnjUL
/N3EED/XdjouXeO3ZNO/WGGYTNChNnQPxdJPQyYXyb7QrGI30XSfy4mBlY2gLWehKWv364eDQvmn
t4BJiOBu0TOw3+fW1OYYu5kYi52d9mfRAIUvf7dgXt6kd88FIzPAtfN/4q6cP8N35No4qtI20/Vi
V/o9A+V4MJekgr3OKz2H+REZa3BAyY5nzLxWgR+t3SI7aEPwJ1LPT55DfjVS3po2cWLt+oRNPMKf
s5BjfjLQdQDtttaoOdNdZjnTIrHBdcOSa66y2FljpfnokdKwYMQOJQJ5/zKzqVswfAFQhfOzMWtY
xZaPs4hYszlvPH6zCx7BKk5P/ZDSVMBX4jkJBaqhqH4NFAZgTZe93p7LwozWwpq+ngD/ds2fteDv
bwr3wqefwTqMutv88YIVppxdJ3mxMzIOCn2UkwDaghYwOXOejIgrAPwioRXgXee2wwS+qZk9GPlN
m/AsA21aE2fcbVQAVah1jHLVRfqjSqS1YoQ6LdLeuQ46hL3Anq8j30xWds1KJBlIrNxkfNBN9To1
RCe6sJUsqkO/4gvXSE7SSH8YKcQWMojk1srU1pfqHCKCXCQ1z6eQLHyN06sFfnNy4AJ8ZKY9PWD+
70+/fnD/4iVhz5j/D4Ah571310ihis5a1RdImwoMORw/XMXHEah8Axn+5o4Yxmy5e/cM0/QEf2Mb
yOp/eicrYY0WE7liV5tNsUYgRw5JkBzwgO18g/sz0Sylh8YBCcRVS243FWCYnQg8n3CbBw5xsr5c
4mer1j7WMzgSDWb00fvUpMaVRvc58/NmGflU+0NRWgjEmle0XechG4/A3dmMecxCK30J1Fylos5I
Jv1UdcUqGdD9UK6u+zbxNi239HK8nMRgMb7hD/rYwx3a9stEqn6DKqFdZFMbQXgfbi+HIMAUJWKr
tDyQm3AftxwkyQTvltjtCEOd1H3dhvqCIQ76mf4eSdhtpcWYpKnWDLdbQc0bV/M/kCJcYWCaH0jZ
9RuDJtx6fo2awSbbTt074XyAsGHneEzHlllFtYTB5TRUyIFdyZ+uNfuxSmxesRZnjm8Pr/UMmGEQ
ApE9PsUWYyyGhGwZmXhMov6sGNcvrRLbD1G/Wp8cLskydcgL3LbZgUMxoYDsLHHY82DydjiqPWWG
/Rw1RBWlhn3dN/3KMuuRWaTaMo6Lt4oIEiAK9nXWikfGVr/bj52/eL2pdWyw0TYjaAysP77eGXg9
QEd2vmtcbF9Nf4YveU19wcUDA7ma66/LUbtsfXJwfCq9yztfRO1mVI1aVAk/VuXWKm2LZO2nPqKu
2nKJdgmrJYq6gglbN+6yWe3SxynNTRAW62rm3Fda5p+QYEWrKWRfbCcySgreg+XkYl3TWGOSdnzo
LcotvbYQtenkig1hy0zYo7IOORiyH0Y0yZdJSJntJt1927OC1mZ7rj2OpH6XnfCwnYXdxVtYZgOg
29QisXuC76iYWOfeKje0aWGX46vT0E6tGUu5nA52aexc92wiHDK7e8sZbudqvnW/7a//uo5+o682
ETBg/P57acXppR5/6q59/aFv3TWM5GIOI3AwEmEW/85+7vownrEkEXylu+iueeq/qSp8hNcIOWm+
OTaDuNkB/01V4f5B4YGmEgcDqA8Ci/9Ji+39noD49ZIJqyPN8U1yFH98sQq9S+gJpdMO4Zw9sRSJ
4iocwvFjDh2TqtG2l99dntuv6//3PvT31RO/0EVNTlXNJ0dC9u5NbjMfa+LkjLthSOo7CEv90gHX
9JsciPenJH4LxeAsObFROv1UwLd2oxMtFg2ckki+IvejukvLmqkANEDUjApHJ0CSlagS7dwod/j4
6y+J/evd5jfr6TkT4uz3TO7x++g6Zu4e5Ga33fE+Z8NmUNG0ydxI3/XUldBEovowJEPdbEdogwbF
gRVAEpMx4tqGk+2H0sNns2BgNp7AKSIcQVKXLbxJpfR5Uv5sRrWTM4vXELoMMkFRbQfNaC9bbxzf
kOemZ4vUptU0eNMuEjZUEgy9hxwVxyNZR+M26PPLbJKIVFS/WK8WYDyQslaDce9YpryuVWrcm0M/
3DJUQb7rNPIFFzi2aSxe41vU8I1ImOsfsg5pZZNc5JoU/XUQeyCmSrOAv6GXz1E8yidCXfhBNZCf
0XAKoRpwgrPfu4gk+kbq5Z5LhRcmpLxHWeLhj9sy2+Jr6u6siZ5ik2kW2jh3ANFjV1NxVQq/zhCK
E1oj3bi+K7MelmXvQv3G8+RRUkXTabIGVBB6rlYWXqUDPcjqrsnb4DB10I6cymDqPwuBKW37h0TP
+4cqmZwP3B1zTTlnrguTI3UHGuZ1LJGihi567VgV48eoDconambuTCULfeco9Lauoiy32sKHQaLF
O7TU45siSvCjXvMjo143fzolY5FgIFOnClvjvsum5s+kRTc7H2qv8tzjivgJ0LiFyJFBLxxUtIDP
MuZ7kv6tKnpzXcIROkuHJJ3OCJ1lYpb1q0DBuAhTinQk5yYZwNqA0KYQXfU6YFP7SFwkYtW4y/Yl
wubr0ZUK4mSSRavGKuoCvxlEM0Q73qKdkKW6gtIVelJ6DlECbxwvqq5pG800zrD/koKOwZLXppuc
QwqLhlE+wwjqHwLoACe/6vmrLAQAEpz3whj4xr7SYK+l88uuVfbNxSkh8AmtHTG7FXxUN32a8ij2
UdF/MdJ4nOUM4iYU3Al0ut5CFKRjYakS5LHJjuuahvLFzVCjwvlMSLmB1lCsyigIzo4eVK+UEtOp
UNH40VTYnYuSlyGrq3QDs73FLOYY99CLSRYLEcAbGte2CbmPZDxzqedHNMNW+AW2Q7qZLp6CauJO
CPqmW2Hw/OMjlE/oWYNDhq9aaUhgI9JjbkLvTe98vV/EGplleLZzcx819rNujtVMT+8eQpNncz6Y
xFtzTtsRInsWTIG/tMKV1zKxeSgHs6e3yI1yXK3d0LAnnya3xI3fKvumI0jmvogb+dQx1XzWWmz4
F6U4w/ry2cptelCWZn8YPNzwiHI8yGOFKl9CjyHKMoaHyADCT1eXL+cRO7JvykY7D6MsyNSOk+mk
vBGZV6PBvC1bFC89wdZLo0X6PWQkaDtKj8lEA6e4HJB8be0hrl9lBkqApzZFEzBim3k06LdfJfoI
KNExreq6dczQM8ms8o3UeephVLSvcd2Jp9go8jTcwa8rGEy0k1agTtJVd0KkENgHBXxLnK10HBf0
U8ePhjcSkOR0DH8Ne6hXFdymDc+hDS7aNJlclnDXNqgarrvSB+HDE4ZEOr1t9Ua7K/XsrNndtSCl
ewP9176bapu1k04eqKLwQ2AH1zl64hWnvnBHUmO0z830Y4Nucg1Ot1t3YvxEf6Rbi777nEYmwMQi
fMU6FO2jiSSowujkVQm/d53ZPfCFIGw/G8wD1mHcHAfC/zawzI3DMFGDGmPtLjPXDlehJI1ETGI8
ab7sxyWynIOTeAeC4NBEZFUxLaQfVHth6mDNtUEsKz20F3mcQq/Os+wtlFOL/BqR0bZrxLj0RXEe
CzdeY0P0j0kUSjQeido4ES9sleTGMR5JQup8zvjTyI2Eoabv9ULrkcAzBEEq761LpZlLaXm8lgUC
o0hnzmRquX5UduzvutD4gE4SRwJGlCtS8KxsbXLtXxupFOK2yqdkzSfuIVB2GvWmjN2NY6jnogzq
q464sSVhit0+VL6BRMJ3UrYwp1qNQfNqlarbhnbInscG7m36iG0uMrE4JQVcCrSqxsJo02aDczWC
4ZtqxAp4w7NnYyZRFtOYAlMr/Y80ffK1oHRpiTvj1o/7WGGcwhVDOk60dHthUSFa1R3VmbcRyLfc
vWR9JcGeRQS5VSpNbEq8VycUTvKoEHasS4ape3OQuEWiiLeqwa9KPmJR8gSOrWEfpFMPHydlgTBO
wLF4DUfubGX1WnlATTe9gHWx9+aYT/cyIRIdd62/Gybb3+ddMN7GqTWt+oAMM/B4YumYWc7jjugk
U5CsG2GJO7cRRJiSvIg+vlbIJaW3qbQ+X2t+Ni2UjegBhV3y6DrMOmFLKlIJZvmT32sbwgRKpnZ0
FA2NvTzW1T6OrQGfV9+vQi30HzIvNLZIHY21Y5XR3usHGMswsk6lX5JClirtnLcDA8NqGg+Q8oHv
CduPBArOOv8igH5FweRe+UNr0p1Vqg45wpr2KhdRepJYZPcyynH8xigDjtkUWE9d4o6oRWzlMrlT
8MGjEfQpUohE/yKBv2Yr4RbOsNITvd9PFR4ZmWv1Ft+E/aSyLo4Jp4iTK9GGtACsxAH92oh+Ipet
gKr+5Pe6vlNR2sQLUKcNai1ymjYw1fpPZWKUyzZTc10gq7thaGfvWl+Uaw9KxpEAhVlFMrqJy+OX
R/va6usrv2pKsSS2skHpVtrxbiCroFkiTbZvRjOIdwhT5CcT/SSaConIkHujc5amREoSi30oM6Zd
YjfEGZgBbKJCtp9BwCpJwsAch6qnDSY2ySr8VmS4iuSoBWeZuvM7kFImuIHOCPpirblk5WJmsW+m
ONbOWiklXze2ok0HqNpbhTqQnJwiLyLoZJCfBtlNch3Z3CQDRM1i7KgKvxZfFfrB+8QYm88SoC++
MRvF3sKgI8WIbBzNNWWo82EAro0Jh4KxWJsg7VeERWV7y3WKK6z7007oDUmMpWIxrhNaM7lk0LSK
7IbNnaY6ZorQ7x5i0wpvwpxKo6Abdx1Ol0/hV48WCQAx+KZqXpSnfHyjQzPbBl3KE7+qjFuWweIz
XsCyX2khvhy4vyyV4SzYvji+xpmAGhla9xDFOvfOqDSvWOp5PW5DmE1HvKJ8/65XqzBkLy8ptp5k
Q5OkGefyF6Ppk9sO2d4EE0rSoDDuvXwY37xRom6aAvieSeyT96cI0RtnJRUJxFa2T0GF3/3mEPFT
B83nqGR6HBo5zMy51O/OSjbSBAnQsd4NFWsJ4FuQk1Xuj5tyJKdYxoVa+SjR33pz7HexZyE1NcwX
L5F/KjSp69hmm9JQcK86mZenvjbFUy9lcaKFnB519OLPpkCJdpIh4qZjHUXePnBwoekYNjbxwIXM
uYXMJmL7RjeAc9ZDTp2QkUrLxj1tisEajwKu36quOoW5kTtLx08792HtfNBsd3zLvVC3Z4eqIHoF
KCqbhUO9ocoMXTIPDo52aiUOKfi8wpQ/NAmXW1+HOW/ApUYaiqm6KzI0xeCg5nIppZDyc+REguyY
D8JK5docAnmdWoYHPrhi7zc46kEI6h/CSUNNTRM/Y0Tbpc6hzSa3R+inQi5SDORaGwDNrnEzRTq8
LQvX6M6yiHSolzY0hUas5ham+VAGAkZDZYGudJ0pC/ekBcSrYJr/h4BCKljpDUqZJYQlw+sXQH3M
o6+L5jN+skGyClJL1XoESgNRJN84LHxyOnj4STQeKKHIb4YONVJccYzRd5x6eLTxKf8JGcqZXXf2
srG1sl7mPm7OC+/Gi4T8NCYd8ckx0ruuZ1cjA3uCK9BSyEWF0z20cfbs1tTt02DIJ/hHTKbrMe4p
5rl2fkpEx2GauPi87Nq5Tkxrb/DC3qUW+dFBil1z6dlttm9tr3xBHVi+iNFgTzYz08Qyxv20Wq++
5QTgXUE2I9RCcdhysgJXQE4NCXLf2utDWz63c01N+ufM3WgRoYspg/s8ZqpDxxdC8GwSqsXCnePa
Yvcut+ruQZ99lWZhli92Q5dRF1S20uDUsqqLiTevhR1LNAAH+arKJH2vGJ1DIIbypQ0KjFReS0Ua
CNG6y9KeeEdmWCP6Y4N/Cam1eoV0yVWZ8bYNVfnCxkS5KyLWokpWdENMxas++PPSdXEN2yNG1yw3
q0c1uh5htxxvCbbwr0JD1oeYmfOVgyITK1c+boGn2kSRFv0DdFmOVYq8O28+efseZX6O6BnfF8cT
D03um8dbOq1jb5IQYEGhDq781HYtxxzdDm+M2eCdq8hZGjhwloU2Fyzzpx6ET/PAi0nUXZbZfA8s
le2N+VUdOMmykaRqJTmkPtvV0G2GOofGAX8XS3UfcyKd7aXoSDg4RYOo7giu5s6UCVvAZQ2URUi6
L2ds5DsWcsa52OA8beEKpqHFt8vc8TiFQGCGnq7G5TFEMMQCHhaVvhs6bTyJkJOm1YzV3eWkXVg8
Pjl0O5wDnFgrgoD2WUEeIElHpGwiN7vqAlIfLscyPJdcBlFxoqDRw6WfGyhT7I2bVHIQV1H0RqjZ
eJp43QCiQlQNFmqgB+GFdA106GPnSgp4xxQedOI9tsKOqPnbqutpihQttzgkDXY/THwj8MUmh+eJ
V7BkLntvMtmm7ZLq9lJ2WrkmhoJjpAxxHhUwj5fhkNs3ZurYH9hodDD3Tt/82SY1nZhJpNXjRD5I
hhpaVa8hdoR1o+OZxpzJedmss702H2qRMLCscZIKDpcTsuZxsGakW9TLYgLbg8aEQ3YF0mNtGfz6
y7nZBWV3GlJ6ZkWJ/lzTtS86+GnKFHd2d2Q5m1TV6Onm66MZ0zLC85rti9IIzuRUF1ewCLBGQ3e4
8tqmeiwNehdQmOlldHONonIruukFFe4y1FsWd81sPpeZXz4PIYHTtY6ZRrmss6UCo4xyqapf9WI2
DacpUWgXqjOoVo6ICe/0/DxX9bwMN0HZHPGd0gnyY5daI635cR+c7jFmHH8fzd1GVSXzLkBh/Gx4
PBJi6lAzV0H5EhlBeOOC1d0Y9fz8pILCi5VokTl8nWDuOlzKCs+nMxWmRXrOycPaTIJt0kHDcX/Z
G7Dw1ofOC6MbLOjzeZ/mFfnL4sa96MHARKID97nC2EDN+4ux3M/xiTolFYjgGIKeNTHu8bI0IKi5
kT6Nuf2Y6cUVKb7gkUyKh3y+BxH10lPTKJAINbOuVa4MVjMR9g+jojyRKX0RvczMey1HHB+wjj2W
jSefIicLDpwbneWlFdOD6N17cOEP4CMVsysaGQ2rCX58kjw3IYghPBcD0NCWIjPnxSb83aL7VGa8
FKPel88EvNAYVPTqsFVRorUULJYDbMmkqbdms+fhuSyzwxzyxYmdaNZShH9ymhqBWpv5XMc1A6f/
2hpuaw7LH4kWmnbwlzkqMg7iYuosb1HPe5T6FruW00tqa3zeUtOD86DoU5jZkMd7hPTVQcmM5s28
VFo6F4VpR3ozeSYjE9iIdBu0OUDZZ38AP0NXcKrpChatO55cuKP3VuV2X1zYm9uWj05eAxaEZexT
i8qslJ8Qp1ByVOi/90nBSxYDbbsx3eK5722u2uQi+CRSi1elT7kGzNmpQgkleKQqSQRehxE9c6aX
PnUL7A58/jqLrCJE96EsA7xbaPpXfccNH710AnlIK/PyXy8v5pgnbDGa0dWvtmJPlWwq+2Jqh9vB
1MZNHiHLZmrMCx2L6hC6NotMb/NkC+lONolMMegDZ6IShia/GZr0rRNT6ayjhoPDpUHnNvJZmJwI
1Ey9GwHjkwhmggXjAMc3ZsKUJWrXeeJpqkOmVnMHvOUguwbMwC8jZ9w7tEFb/kbLAvDsx3nv3PJ2
TVgtrg2BFZ3rj6OErrTKXCZVuxMxzeGlM3X2jeuAughb8A+oXHVUCBTfTEaZU4UloRCNbe0mioMw
KDi7QPI+kN4wHgslq8euE+Kmj83hI0vCtPl1bW28lzLNHxZQLMQbslhId3n3YTGepW6vWc1Oiy0d
B0nhfBglZzHdSEj/6jiY0K2gEDVwstynLR5snVbGIaXmeUnkTC2YV+Fff6iLrOjrxGT/+f/+H9JV
6Oy7KPDmD+WKn2YjYceTjHm02eW5haXd960AAVBXXU1K67d13UUrTu/TerQsehNBR5Mtwde5daP5
JCf69JwoHiorc1gNArv8TLySe+cBGFuzylIYanVZLaoWvtWvP/lfnFRQSl3uvut6KNPeSQtq00/L
kFABNHdmdQh8+jZ07qkeq6Sq77K5+Urum7fqWROfm5FdpFAF58Kutf87e/l3VPmbUSVCeYZQfz+p
XH3JXtRL/eV7H8DXn/l+UOnPw3Vo1A7vL0O1bxwoG0QUA0cPrvN/xf7/G1TyuJpwsi0BKArF//8G
lcC1BbFETD5tvEvzDPMfEBIN/+dXlq6e4Qnd8MBLkQ3z4/qSJpBxjMmvdiOWzUdYfIVcOdKC2TcA
31wObp23G1mNt7itCCHEj7JkFuljCdTlhuyiAvKQNRmMv7o8WhRF6rBp6OrL0Dqk3c3YHS8guoe4
v9vC07QFIMRnofGoWhi3N7QtGNZZesgh2HdIahVYogLIPB++jm/oOV9nCeUeQBvoQW7V4OwOkrw+
IDFMAcPgZ9bcDK9phIwQlWWNMRoYipNbhNgMdrJVfDjyQGtH7hl4BfsSmvS58ENxICzpOXEr7THO
cigkVYFsqBqKLTZmnGszpooVSd5MA8tUPjR3vYfdVEv5kgHf1IjMO4gPKXbENFqNtqUtEhhQWz1M
33C6x2jffTwDBZ7YNVrBaWNWCLmrid8e9eadYw2zrqk9tYwJF50Jasbw7nH+nIyAZns0FB9UNRlX
AygQIkwKfPceDl/Ty68YUV4JTz4GuNWWk9EOIGnDZzBL+zkZYzHH+SBdfK7mpq1blh+GRJue0gxI
DuOjCF+o7DadjrIaQ96SR/CeGNc1Pj9nkQbO/BEYWtr81X41WFt3cvUbK9W0DYg/WKyNnz2U9OUf
jMGCjDPzn/B6WXSgQfQwvKoWEV531BS3aP1YG7EKt2KsXkph1PdAZik+4oDCghbMWlF/3Wa45ANv
8gDntdXN2Ef1o0i9e6eJy205UJ0bzUj6QJC6TGN8Y+dXDsbuzPuYTVKrFsJSH0NBArPIy8YFVNNA
//aD7lXTq7pYupVu3VHNWtc59jFjpcxoAFEVVdM6i4oPFpL4tVXDVVyZpXVushZWnxcAFbc4FgZz
PzyZOxJRpvXLPh8qf1tfuhWhNAwwMSQPJkAcFi1o6/LaNIbuOK/XKN4QEH10hYqPInf0Z8EXXzUw
y5c5BuZ4ZXMty43h1UG9sHB5HxUOynZfJpRYKG84oWqFPWlbr6Y2eht9V50ys0ZuHRYAizLyJ+oF
2Bf6tYnx4bJ8/bvQ/2ahR73H0veLhT5u2jp+bf9Tvv2HI3iXf4pfvl/0v/78t0Xf+QN1gkM+woyp
/KpB+bbou38Yxqyp1SF7XNb9/8lTvD8wbPhziB2ZCeiLKJ++yVO8P9BgWib/EoGKafKv/smqPxcO
P5ZEzO0EvH/UXdAJ52/+vRB2JB7TIIpL36XDzCV9g1N/Q4G+pys8lxA79AgHkM9rXqRHI2Vls5rf
1DYzUPGnjwCjBz883xlnwbsubEkKhPRoY+7KetSvA/E4+vKq6VPaABwzTVD2bdWtfGxauOCDk5Rh
sqXKK9bKfBIQ5qZoRUZVeNInbQESAXkaSlzXuK5mRTzKjAVQpZXWc0DW5evcrYhLGGywGbT0OaGP
Mf/jKAS2r/FjM5UkS+It0Naj7e9ESUAuPQrnCtBZgSNZb0EmaXVjMcBMwX1axQOHlEXNM7FDaL7A
XbYQpnUMO6I+mfTeiRa8iDcb6j3txAtNT4J4AM7wV+Sz3LHydHQp506s3945/pNhaesmdF+Ir4JR
mBgL3yGy1XHBdvsLPYrWXZmt+iFf1l16HjTAwPjM8S/n676Vz+xX+pbEz9uwcbFJFJ8mJJNtki4r
vHVb2qreQqFBXFhF8ZoPQt+miUeXXVevhWBG6nTNFUZbLHc6rjin4ZfRviLPNqRN/VWm9O/i8pvF
ZbayINn6+9Vl+6Wswx8XlP/+zH9XFE//Y67RfLRpJv5QYfG+fKMI2X84Ou8Q/hG8pi5Lx/9WFLRv
31YQHdaQK8CfzdYawEL/ZAFh7Xn/+s6VLH+Z7oDVNoEY/biC+GbJcK70sp3lhU+KcceibdISbIv+
CLD6Q00kCiq46tHLjUfQtnggOHfjYTm09HjXk1aZewuuASZbH58kQdF7v0uzLWsBqGYNf3Pb+/Xb
iIgX9YkL7M5r9CstzOQzWlb9rJmjuZ3YaVdov6el9OJ4E2gFo/fQPVOVerdqiil12pxjL8Pptu94
AVQFe0Qzyf1Soj7oLZiPPr8ZGxNscwtfIMkGOubudGc3gb1CKewuMTF292bspwR2D8EeAI4kgd24
U3httk0b/umIHJiw4k1z8yw6tTpUjMTiM+EziG/RZ9drm2DAW89y6QllDzRCFp0FRHqsHHg4bv8C
1x5fu8XsrCYw6VNMcXpMFfQPy5/K2VPrbP8fe2fSHLeRbu3/cvdQYE5gcTc1V7FIFosSKWqDoEQJ
85AYE/j135Nl923bX1z37X1vHI6wRbFQQOIdznmOx9ps27qt2KOS0onBhdpS5330mXLYrxO/nOa+
q/Gd7/Y4k9DW4xOCKbGj6mG4tTAJY3sB8EYQ/cj64VrKbtcX826pjcdIR2MMhlSHxglxFojauoYY
9L72o9e8UkXuSgLfKTTLa45745wWQYvMPiCADAxScd8SKzxhN8IhJ5kafR2WOmXVwRDV6Yx+7TgV
wtkmHttn6RjRM0Az74510yJANXrtgShJCSmuSR8AbU1fo5CxqI7CeVGlkyM7qdmB+TWLgWTEnAyz
AZHXUARPqOwhmBcOoPPCHr0D0ormTaSZQLslxuKlyitopwVEENMuLPyEiynwJhRsV2Kzac9C2nrb
57BkSkMbinoyINfr7KaiM4iADiw1GQrSWKiHZVABCEwLlvQrqyZ/hjcCtA96x53Ndv2bsEfD36go
JknBTqOXzC7q58CJyi3DOUhIeQ1yAGTWnUumNEpQlX1rmoiJfmgJ0hPSHCNPmZEcCo9RXWZvhPfZ
57z6hthV2y4FZrIQx31wmPkw/UYDyW4wcN+pbgt8ELP5vR2EczQcZ8jWMYXMIW5r/p8EnSEXEFut
mjXY3TQhrdRedVI9P1IQ4jFszCqeL3hgixcPnUR+wPzGh5dzPF8FFF8cmbWprsQu1Hcdb+187RDz
sG2Cgh9I8wHO55YgMY9kH6m+ZNLK87dPfdaw8ILxOKNl6oD8JMRhNBY0KEym3Ucql3FvDU7zE7ER
iKuhbh5vv1kWMQhCZ2Tx41mHiadYB7qn5J2hr4+S4MnVyjdXp0UUZeKeKq8aPneZy4bFn32aT/3B
e6ecr/Pg9V+EKvkfCw0w90YOkU3g1PPWDLtxz1Qn+3a702gw+duWOARib802fDKFQZgFE0yfJoQP
lMQZUUZwyF7ccLLZA5OJTrKGK55QN7nHOo/UFftVvWlbGic7HoR7aEbt/Brc6gR3lW/NRomASqns
P3rkBYRg1v4ju835DgupfSXGPLhO0ii3CXckDo7Qg6Bm09ROHvkX9JxkImHP4G+Er5PvijgxnutF
kknsZ/UzyYCwaWhftrdvq5zIzUjjuQvWXR5VPSqzMWAFxZWbBRgJS3b4AQHSQpfwY378MM3xWhSK
u37hH2kAgB3u/tq+4Smy5aGrkoeRKcBgdJ9HCRZj9OpvVRqQuoI1Nwzu7X54hGN1wShLt98nhzJr
f3lTeBc6NatNDMeVLa6qA901JnucUC9xC1PD03QNX3M2mBNS0hgru5nrdaBZHD3vsQHgVE2kXWr5
VxdoR6fpHf7IGZ5bED18zfawROXiaJkfUrIRJoW9DwyIo3kgVg8ZxFJ2tgvqGLPvpOkhfp2Dxg1H
dztDw12JhtDYUfNG+ht6xABCUsVqPQIlkZpOgueouctYmKBbhV3iADFprf5QATUBrof7exycRxIS
ozcD9ElnBOjWYKEsmopSjAVWb01KMTQzJbvhU3B6jVRafv08aLoKM5LlowS4gixOyzNgsGC7eq4g
L+Agz/eO5rR43sIXrNktSmJtyjTPJfetL/7MxlaE8phr5gsRZc6BESBiA8KUqDFhw5hAYhpNiyGt
4U1qfgy+HvM85zBlWm78fTaTk+6NAFusUq7B5yKAnQlpbq5NCpsm1ZQaV/NqhA9axQJhg9U7eyf5
EqoNbpFVqkk37IC7VaTpNy4xxHI1LgvngabjxJkG5eBkcjEnQYaKniUonUQzdcwqmB/ItwK049yg
O1VvA+CpNItnGdE61+B5Cs3p4bYiFUGze5wFis90A/qUgzZrVHmzcTvSqDtN/uk8SLnwio8zBkJM
k837oDlBMujCDalKX03NEDI1TSjUXCEDwBAOgzdS4lnRQB6aNIPI0TQi/Hv5utaEohZUEQhBHOA8
hkwE4BgFrHMJzHE2PeLqMzjueEuREHygsxivQqOQEFToGkLzkTqNSppu1KTRxqONiiL7kglMLi4U
jZ+dhiz1bVuQSlUKzRaPNiTY4/fVWCbwBog1S2cLXdV8EBrg5LiOgscqqaxQpK6mpg0emrFBA2jO
xbdJU6J8zYvyNDmq1QypgqeIk/yGlko0ZSq6Aad8zZ4abxiq7oakSjSdCtHNsAtuyKoeeFWvKVa+
1cLDc5D88yUSXxtp+tWYZ8NZeC3rHasCRVtLzKErd5l4DcIDeqhBz5/wFzFe0qSt6DfmFvSt6Qbi
Wm5Qrj6sjIc+DrwjlUK+t8xablNF1gaTodrdJrDCKvDTj5ZmiE1tOh0IIpWvvmTXwqacLPVFx5uJ
CcSv25DkLZZjrtlkIEyMk6l5ZY0ml9WaYdZomll245ppwlkkYZ3NbvEdIRTids1By29ENM1GK26U
NJuB56DJadQM96rOdq4BwMxmj1gAWMtuqLWsGiGQTbJlHAeJjUVNsStd6Gx1m7ugq1gsa3Jbqxlu
tqa5eQVct0UT3lCaQlbT1LdZ899kppFHzNvenJ4odU2JmwQhsNKf+13YgJBDLov62AEr17Yo9AaN
mmPUAHQO+hxv0PqxErDwmnCYV505eS9Oo/ZqUjGS9OV59h3xoDTSDlQ7cLvK2mMTIZfZarf1WMc/
pZr3jkbijWw6t6PG5ClTqVM6gs4bNEQP9vg5jeXVxSO2IXo2O86Lr+6iLEjCfpMZCXnbvrNcw5zT
1boTA5TrcZvpIJJmn5dTFgOcyCSjuEHHgvGBdUgYMY0khsWxREib/xYlJm65YkA4yRjzbnlj2S17
bO6IIVO3RDLvt3gy3ttklZV+Sm4ZyjVti8+ZlrrQCXS6GW/DV0XemWESfFbeItDcYXqOdCyapQPS
yBGsmWV77j3iha8S0MR2afxrGmI5zZaeia0OW0MVnz0CofG+dzqKLdOhbFZn9feTDmpLrfEndj97
O3mEuAUjcW4M/12YkXQ/ZKl0l1DHvk0CoW1MqbK1I0LhgON8w32LNx/49Puko+NSo3WxqZO9ipXE
X8UZTJdcIjEnLUhhaCSArtFRdKp3Ee8E4efQIKbOI68OX8a0IoDxQ9iMil1Ztg/oztZF7f5IIL1v
op7guxlVYEW+nC7647ntv5vu1H+I3MvOkw7Os4POPTg6TA+G/7M5orpfSWoZOCtjnx+XWwLfgqb6
7KYtGeE6oK8gNOe+S8ofNKBxiZJXDg0zh8W7I2K7xpeZ/JA68K83ZPkBWEufWVHf74YqHXetDgmk
fPG3tu2oax+Rd00NdHV0qCAg+LjDhU/UoOmG5Jfr+EGlgwj9gUhC2bALX245hXLui8e8klqVpYMM
K8QaJFbqeMPSSngVmKFOb6A1rKkDijD4YPjEwTHGnnVNB8ISSXdo3hYdoLjcshTHW66if8tYHMyp
+lxR9MOlWQKSv/t613EwbgNrOaL5rtCV0mTV6ZI/pIyB3qx+AQQuBasPT7u0WyCeNeP7mlsopijJ
6iCh8U3D/jM7njaOtiwCqsVhoAx8DhyYSgmJy9H49KQFyW7EGlSWB+H06aGVIHWVUf3MFUnoHV4n
2sfunLdDSZ/VBle/NMdLnPQNbqVw2eRsEsCZIADx4prheYRcLQuD6MQv9oXGL9oI0Jw7IyuDY0FC
3n9iZH7PSPtXUx+wIkxe//epz7H6ADb0pzEysx39Z/4x9XE/4b9nNOCauO6QAPxz6BN84tlmw44w
QK/t/uByhBQmPM1NEUgGQJJrzME/hkDiE55JPIm+w5SZ/eK/Fa/mupg2/zTEZdfP2lDPgRzbD2z7
L0PcwYYIvCTKOEbOojaOLIp3L4uoBIbUZISLrsdGjdjNCxweraLKY5Ii/KQt78EwugqaUZWTRJGO
H2KAGrDQ5HwLYSDVqzjMEdnzp8qNIq6aY3upvpUelGYmUvYjZYDPvGZsnXta+mAhJ6Dk5GE75dN6
Bs8kJRXXVg3jozm+l1BkV4gn8he0PO1bjcjUWC9jUS373GzUO2ufUsE+NWYYSU7MNEWBV1HMbAXW
AMIi8++JkTPjdVqt2ZmhY3LGEV+VK6koeotwuNfTIYe1WrS4QAxAT2xZzwtn3UICZokUZM5eoqBK
oIlFydlhQhFsHbTHDEGqgmlvbuT1j6ZrmrcaDeXDQMLaenDQ7LMgnX4E5Vi9uX2KbY4tJMKuKZdP
c5PF73aCZJSdEn4VirZxgJPrA/Xl+Aimh8VT9cVz5pqpT8BedDWjEdwTFZk/BA6ps27hEMsyk+YN
VUeIaYixZgzrsRpa2GDzfrJTcaFXxO+TOSWWt8JiXQWfxoc+cYxYFj+TW9VtSK8BJDbNDiLZBiVi
hRvs5PWx2BC7PNwFamLxunSWPI1LkXAUx14YrwAViXNglnYF0mEm97FshufBzVuYc9YErSAfLehV
efS1N4h9ayZPbknWM87TYmerHpDlqqYXwP8IGHOJreG1IJtTrr2wbM9T1Mq7JAjGX5iylmwFwtNA
4VW4WoNXFdtGhsDAqymUqFFAcAG7U60evA/5u7y9GztFe0ASBK2cnU3dtywrSECfENGj9pFOzDo7
rCycqHN6TZrcebXjMn0KF4+/zTFF+4zkN9sNMnHvLDtDRAZZMjkYDm6K1Qyf1+5HeSAGb7zGSYnw
jii/N0xP7ckxy/Dn1E6i3fmAc92VRcJEumV4GV5DUjGnNXPH2viaxY5/SVyoB9R+DD9hjy75D7ep
HSyMCV1QbBJxEXq9tUYQWn3me8xpb7rkIoCt33fWnJwErWi4tepJYiutCL3zkXtuuF3rz4Ejzce4
7YlvMST/3apj916O7oAGD0nSA6riOu1WU8lT/lXhZMJdWcQse7g8Cv09zeuIhBOyKG6RvkfxO86Z
f+3qUJnFuTJNVfUrmwkhiSrTMOF3XNC0zdPozKfES7KDnPyLFQDva1yxMEZEVj67bfiMWU6M247M
qTdSSmcWodFYbMTght06b+x6XZWd9zwMHkXInFo9ENYZTnaVmg9uU6pzjzx8j0fZgyXV0b6zPWfR
xeYpQGm4bnlerlGnmF6lTAW+qGhyCGkeejO7CI0/DTduswzms7t0jOSKFR4Nj9WvNA7T0L64RTI9
GXmAERBZ33R02vE0xpV/j4Wk3Zd9Th2pigVycTk/SVyjR4TXknAoLz5iDyyephZML1RTtXbzjKG2
ExZb0fBFsk1clRFmG0smDxA5VgMhJ2zJ0jO0CQim/CTHkPtBRJA9UvvNjxKWyRmg5sxeDRoKbxE7
wo8xprVi/vOS4Hk6Rl1bry0uy06EQfeYmu5bODTxhvk2EMNpNO6zxYoOsT6t58F8ray+IYmEHiSf
P9puvOsXrmHUg6pK7X5eW2Fu7swu+aIcjZHN6hcoa4K43uYHLSEkt9S+mnMbUowWL7HTPvpTll16
WX2ln1ArNNHEdpi70qyf8duUYPIEKF4Trbg55ePGxhoNHVE1wUEk1LazX6GOHzvJaDfx72VqdaeW
IO4+i4haDINxbzuju7E60kdY0QmTUidPTm0sAFHUU7O8JfiN7kM1uTufOt3mNrrz+bbPZtzagCaH
6mqiBdwbXmXsXVrwdT/XywP8twyOR00eQJB6zZOc5/DqLNDuNnHaF0+5oUBqh+2HqBPzlKexdbeU
odwa3RSU68ZTJIbC68WKHHD7fRZUgBviIIgWB2u5XdKuZDEXzw8F5pjVPFrtl0WDUFDUdrTn6ZNH
OguPRJ6s23HsHso2ZzlIfOkzrPHoybMjFps60NirTRLp+ZrCyJw2KDqT90JF70lnyie7EdPFVqG6
S1ltXn0SpZ+HqS7XveOfCOlF+z1w62SG+Qr5X66IK0bdkamI0DZ+UzsXPyY1dtfACMV6Ya+xc+Yl
3LEDLX75sNQelmnbDctwnnoXNU6Lg/KBM8Y4Z30q7JVMSnllPl9spIBdC1fPIWzMbvah6pIfblHw
bIV1R/BWPly5CYuHEJvpJSNCYeVXvtim/tJtLMu8CKYomx6l77FcHOdSBE64MYa5efQm65sHknAr
LSN/LkPaQ68X9mtfu3LXTQBkuDOSnPHkaGoXgKh2+KPhE7I032M+wKk2+uHJ66aZcV+qjn7PK1Ll
i380yLSxftuJ/2c7+q/qZIfwk7+rkw9I7NL0j2oL4G76j/xeJlseUcOa2SEcDy4SGSv/UyfDi/hk
61weF43bTUr3P8tR2/5kA/ywWWJqWagdsOP8vU62UGKYFN5U3SYa9gAQxb8ht/B0GfxPuQU+FPLr
ScWAbW6i63CDvyxL8UAUS+bF9nNHgcdsZimxuRFbhr9k0bavxo3bJwIYsXuLnCTfJDeuDOFwu7gG
2uoixWJRdArnghkVEy9pa92HRsOQDbd8Z5r8HNo2rF2gGdNL1hI3BBveIxYcIPpucG3yuSwWT7aB
RphZxkSMQj7vqWHz65I5yyGMseAk2Pt+VotB4ELiTu6joWNHVFWkMK27fnoPied9FxAIUmaPXLZ1
Eo+sh9q8XXZsiuTJmzGWDHaSvffxNF+MfCZXkkHp20yIwxopRy7WHBH9z7GNOWob2HyxbVpPQPSe
mNSn6aouOvuL3o7m/0Ju4vxZ8XL7CnyQf3yrtD8Bb7o/76vLxXUzI+r854WK/Og5g7dtbNUSMF8r
Tc9EnccL3y7DC5m09rmabD5a4wc1uVy5yZYlIamAhqs+hsswAtj0kgd7cGtc6LnxWkmvuyYzCzwv
zSC0UXMlpPvximP1FOzjBLfC0Dn1YxC0X3rSdQ9eM53JkbDJd7dRGocfmfTl9z88JJffbrA/QmHC
P7dnfGjgEfoGJk9b09v+P7Ikvp8YmWb17NZl9IYxWV1iwpC/gshTF4OXDsWHw6kJym7rJkxZVyXl
2K5j6kKkJyTchlwRlpTepB618uw01UBUopl/k45t/4R7boFHtKfHZPCJAIylunhB9MLS0sYVzkox
r+B7+HlhHrBVVvvEaI19Pjr+ZiZXYkssDve005vjnbk4H1jrzlNrW4cemfUBCzRkMjcCHkZK41Z5
+KtMtnE7L30rmjA7uW49/UgTIr2K3pl+NMw1jmIu2kPb81qOEga3zTjs+nRSVx7K/AFpOg9Tl6eH
3PkwUeLR5USt321ywkEBbWFXTZnOAxK7kYZFxup4IW3STtliiqpSV1XxLenWI7sH+SyxKhT264xk
9mdQMG4jV5OdFgo+5LRqEdauSrruEKomvSv63ryP0Fxdgsoa7z0melS/zlCUW5ks2WFuSYtcL25s
X420V49db3FBbb0cXvC0TZ5+No18IRZzIiAo6eT3MM7js0tFvDbZKD/8/b3zlzPLM1kVhWhoHTjF
6M7sm274D6xEzYmJ4lEY14R+9KkPhwpySce2WUFla8UQrvHCc++09fJjsunAOzRPM5bMOfnAfg9p
2Md/JXtTvgpAGxte9OZeIltV2lIiB7/8QsdKwN/YegWdPGrSgu/+XOt4C7PHt9d5JFWzxbGvCmY2
RnbKRmpQ7X7TGYscV/NuhFmoD1RYka3X9NbW6w17m6I84WeqUT0QWrk83W5bTBTkjKbY6lrpWWer
QVmJmcf8Ghhl90qXjrnSWCShoSmFU4mZPtmwkUi/V2a+l1CLy/WgwiFZOcPg61IQRWoeJMFjYEpW
yn9/+f9qWuDyI/oOhBn4jHZQ7OhH+w+Xf5Iw03DoRFe7bRBS95YghaaVxnO2hHwCK6PH92VnfM7w
nRIUoJqwwcBaJWofmCmvF4dnkOVpIaNTAFTlPR99wmpCRofIRq02emO9y4fR2oijTAdj9+9/ACRv
/Fo+EnXgoVp3/ocPUC1511oJahxsE/1WZbCnZRPHO+lHBba+inMmkhPnhe1zxFQJ6bxEojbvZmR6
d9bkR7949oiKhcr87ijB2GgCgpnYgB13sgiiz4UglGuVVDGbm7//3W/v43++r/W9D/bUFQAWASzb
SCT//LvT1qXt4k7etYYeTeJv10W/uJuj4NB2bfFCctdyn6lOPRZirPZ9GfAJ7Kryj0GTjicAvgRg
hnZ7LLypJeNcGp97vwz34cQIZ93CSsSW1aVnxvTqMpVhgee2m7pfaJ/ZPYap+72LpuFoLksA/lou
6jK4U17txShaEhlx9yktDOiHIXq1CTw7GIERnLpUAvXBb7ArOjzrTZGoN2yTy76dxogZddJul0pU
ZJLYtvppIZRuwZm6CJu7xra2eK7DnVPn3y10Jl3iVHKFB7w5Fi6bYQzE7ZGaQF1uj14UGvFHGxnJ
uMUvyK/Hnvm0qNa+smZAUlJm2BZZryYfJmCKXUas8xt33vjTJaOME0RfmgzGz5BWy72LgjOFcMPJ
16TgQzHG5Z9NrFdoKsm/+SrKDHBJWYN2StQxnwipafUC3XBZpySK8ZOHcOEBEwPvkr+/ESgS+ab/
dCdgwKBmsALObF0O/qVs4KwmcDYf5ZXtVQ+Bx+QBW93O5mJSrA6hmazxCfEBmO3FO0qx5t23+wW5
FGfSNi67Y2JIgYA8K04S1ubEDM5M8/VoZGm5iuNqh4lMP66WML/P2Ga/cPz3322WYj8HuGrGhmar
FJsuCcg7qijH7kcsttsSayD3gVvRWRUOIQQ7wt/o8cOlHA4BG4bNvDSEt7nlF3Qp8KtE0s0Are10
j4LeeGJjOE+bjnSFD+nxWuH+Sjb4mOqDspZu72qzkwBcS8mpv1fmC/1rp1AHGTniI2WnyzZ05lcL
8MHGqQNnxe+TlNA4eCAwV3CzZjbZKz7QvR+Mt8sNfWp+qkGPHJawgJXEipDcOGknNWkIkQt7ZMiT
F94D6UtnMGrDrDo5SPXTMnvFsh+iBsqlHx8S6ha1Lh1Og1WXNMkH3ad1ZbisC5xW1SczwMNhQK3f
tCxQGNomBCajUyJfthtyjryi7rhQOEj596gn12g1J/YSwQLtXHdTkGn7OY777hiZLm+dxcqc7wmg
sxmOmt/kdwaELsqfcH6K+7Q2tgs7y+8lFsl43UuYkloVZq6NCvNG7E35aeZGQCYzIRgzXKI21vj8
nK9WjeOa+2lYnrBTRuiORKauLbXlgVgYpqNdtyy/bD8PjsGwGFsE6TlRdggg4pXZ0lljSwRA1fkp
nkBSmlY4DrgLU0mVuVJxu+kJnKORbSJzQ2xj8Yvx7pUVE5Rrj7IVR3eOj6yY8vJBiDK52LBd17wM
2PZ14bw83R6k/3S2/6KztbXS/w9nzua9f/99d/TwXv787/+6r6v+Lxug3//MP1pb0/1EF0qQLcOp
W/rLP1tby4eBST/j+KZFC2vT89Ay9sl//5cbfiLqg//EVsbzsDzSkf7e2rruJxJF2Q+xVoTjTmf8
77S2eAb+ckKitkXEr3X8aIrxO7Bs+uN7XpdevBlnvMpNQy5mYZRAo6YEoIIn/Xw+iDp3KrA5pKFz
ezrNPWxBkLtpnHyQTo3AVQAlwXVtJlLB+pIlks9O+D8ovBGzoTBjklU287mWeVu8posrz3W3mB+Z
EyuIMQgAhpXpWUJj7Fi671PDr7+InjHPsZMhvHzlpO2ESJWtd9LnquIFU8xML32oSeit18TrQXOf
jbPJyIh2tglAR2XVgmZobr+Ngw1K305wqY/KnIllCqyfsPwHbzXDsdmxRk147U6Vl6DYT9L7Yqyn
41AM4mC0Q3sc6zIjSzmt1NMoDTK3BntT2yESQsxVicHmCf9FrX+recleldcRQI4qcjPM6pyEVtoe
GH21Fs6l3IoALtcFhQcJYCi3wDBpmgtZV916MSI0pCu+ea6yuQzWJbVT74SbtrsADsv8u8kS3g+u
CNCJLsyi9vPiN8uxb1FOuXeijUlOy1iANC7Rrs2+DdBrAICxp3vc21CrCDkrZoZt1c5f2EaBonST
pCdqLFVJLSGy5fRa4o4xYMW+ZY0uwrLVFjoUkWnjKoxb2HtHq8ytcLwrpjBLWd8pCwdNfowDQ4gG
s7UHSMexrWtH0uKlAHSmPsJKNNkvXZyjBTftyXmwq84rrWdRRtbOZ5BYAxITkfjaQKxykVGE4xmg
F6Dpami4UG0eJeu5GLJj6rLUwzmWP1lWjZYs5eCPknx65L04rsw0zbgtVV5vUAXGvCgt68TyoYZC
Zi47MFD5PoeSaaUNGgV/cMHUGIWNdLhNOEdlTwpJ0At37Tpc7bWdBdHBrMyxR6c9e8eSFoa4tqV7
r5l7/LB7SYZpmMNzYLnPVrAPoqBYkQFEyVt1oYVjG8+j68SFzlnMrINbDd+SzB175FeudzG4gt6q
dpv4W9y65l2cuYi9lWfsR4cEV8Ffd89asdlbi6WeKnCD+2TKg+zRtXhXlDLA35nbZn5nW7GcVhRV
4ybI/eo4gkZ5SHv0siugXe7ZD7LlVEULWHeggxven+/8jugpce+jRYof/IS36mZw/TP76O4rA6fo
W9ISSl+D89g3meNuc8k6cLBE8wX94wMwPe9J39mPkUVYNVO9autL636BVoY5sOnXgdN4uyBt7JYr
0Ji/ams2H2svj7/GGCnvWulO53rMi0NX+HrF48f7LBvzfZQS1BDJpvuwp7zbw4sLn2MXsYnvBPYZ
a/rLYpuPFdDrtTAi/5wvo3duUjY3GSqkV09C3lhluZrOKnXsN4iPipBG3t8xghGTCTnQoi2hdM4v
QwRAAnquxi5fsv449MUPnyJl3aYRblGGzxh36LjcZ5y0KlnbYqx/uAGTfi9zY3NV5633vS91RRd2
HT+jMY4FswRG+o2xkqTfHSdigE4smMs1mbAZtM5MEXobBwflYXCaQEsFKxCq2a73YosbfejTOytM
hs84YbXmZ8w/s8F84raur4E9wwpFRu3lUXgw4BVgt3SkOAWtAYsHXzl5jX6VXMIiSA9jVFcfIjXD
TWFCxV01pWn627l2qc1NC5ZVdu3LNjjOzqg2OXf3swUgrVxZ02wfwsGJ1kh/vpDAam1m5cViJQTJ
71kxcrIPpvOtLuJpVSaDsVGTBZxfmb735gVTuHGsZrnWKgSrLtrpNU8IHfCcjAqxaPIODK36AWNu
3I620/+KEeOvSVqEHFgk3V7RjX5FkoWKwErDxxH41WWu0HXhk+wvdts2d5Exmc+CaN183RG5Knd1
3cVEf0rzHU9su3HRLF6RydT9ep4SZ51kg7FyrT7+pRaMatVYiTeH4t7YLNxaSMQmsEv9PFKXxTBE
qpqTP6AOWwnsoPc2ybdrnkgMGrFlf4ll2NwFk5ec6rBtLtJCet3jL+PKhsn8M0WK9eyNsczW0o7g
x6LkZNtideU6UtJnRz3ax4X462Ht2vInxGBnaykW+45n1/cqazLCamR7Xqp6eiqEsR3mPGRda3sp
g5M0iUCTGPl9Qjz0BjVk9g0FIuyWrmjuRRPMzyaLYazU4G+vLojBwxj06lirKHUhIiKuBzFgPrZj
k7+WYS1fIQO1lwotIsCViLgTJcFFTsHyxWKssE3MGm1hO87baMYRbPpVl2xcPi1+cgS+/bEqlhEK
kBi+kJKH4Dd1u2pjkBq99j3Sm6SZmBfZCWhrApfRqSLOqV+X+TTfedlc6oRb+CZB7Tpcx3766irB
qnNM/P2syjFZZ6T3nrRk/AdZIKaxriOsOHGfTGs/M8PXefG6g+kuvOgDTEoaU9WlO9SD/lmkTfM5
EgyoV4bXws6MoyB1N8GkzqxQW+A/cMv+Y4r7+X/JWbQYUDPW+ht5VD29/2np89sf+L0yDs1PlicE
gqk/CaNC/5Pv2mAz4OTCKr+tif5RFTuftF8N1aUThFoX9U9hlIs7DjgDLT61Ms5blkv/xsLHdf5i
j8OqC2QKgoOeHmh4y18mSHPZ95wWaXAyZUkcddY1FHA25k3Hyz/KalyOCCBd/OqFF8cUo1H+4Dhl
+5ZlsIPwcXXGxYoFAsakmceL6/TRS05StHsnU6V+JH2axUfNF4/WUcXafy05oXYD6IBtpArxMkNM
eBowZkE/n0vAR0kWFB/jOHvnUQ7BS4KQuV0tRRuUlB6WPXN4YS9ljH5MQjc9jt5YbDMm3AOr1pAj
pCod/wO3SvGzMsUxJgrrIYMk9Nqn0r3mkTEsRLY20a/e4QAmIew+LzRJeGZS/gaKVL5j0R9fVczr
zJ675BdOpQbRb+xhuWqVuDQ+5i5S+pyOBW+s7hfREnITcpj8EqUBYLjKkLSKsYwfRsOGdADXB20s
cMAUVqjjntk65dnapFiGLTdRpSw4hw+FH3VbrA3Jm0W1rtZAd4N9JzxHQM30i+fZSpJHhCJHrx7q
+JBORbxHTh6cME6Pe7NWJNUsZek/l0m84MGqkkJQqSe2WpGGPUDpyhG3bCq3Dj9mywTtxdZCmGuS
8YY71v/92o5yeRqiPNtmnUX8j13XKMelCu/0dAJ9BgoGpKlN8OAi00LvMYrhCsFdHmJmBYfcMDvE
Z1FAnkXKkAFwl988y2LqT7SenGy24uKEBS4TwqCLR4tSGNYZvLVHJt31sI49MX4loXNeUbP2wR1S
WGh+yaJLmygWIWojn74iRpe9JeOnfaySoV2nCqQe3QSYZJf6paY87kiRz0CYrfxExZegb36Bqp+H
g9kvkmx3bFW/qLsLd4X3sZg40Zf+R9Xy0jkwNy1eokFlR4b8csv8OnOODUnn7/RfaMmmdtzUTeXt
QsNpicp1pLOz6hC9nUqt6XHpuzh7kSYeq/FpMcDyFVsL62e/BxufXqdZJJfSDgEofvDtMjgDhdim
XFuGY4nRnRkjzzWOPZ+W4SGmA9qUVm2vLLcf3yZvYmg769dzwN+BQWGTFcuz26l4OwHVg+/Fi7c6
RJWl/TMRMZg8oeuRZv009y4wuDIvebzhWrLQIlM0n1aisqhbQ15jndmUawnfe5cl+f9j70yW4zbW
bf0uZ3zhQJ/IwZkUqieLPSlKEwRJWUCi7xLd098Psn3vlvaxfTzfEzscllisKiDxN2t9a4ZTArUJ
ixJ6XsCq2zyzrmyCVS6VaeGUq9wHmv1jTv19vdQuWYxma+4ms5wJb2z43PU0UWQN7hxty6DlCnSh
Ad4YpJeQTNxpkBot1Gjc5/3ZJqt7p1J0N84kx2vt4IUdm4I1hqcJ3aEyb678rtFn2tHiARqASzBN
5XsHPy37B0N290vCjZlV6Te01M/shTd+HmRfwVG429QHWViptHsyQI3eMAcVYVdimFeTZz22bsap
FRTIcmRHUI/po2SKMoJZ0jEOwsHGeDPo7I4u5UWC8gNDxo1tVHSSffzgU4TiYLPSMCKvHfSvOXgb
ZIcM3he/IILMXz/tanxib5VsTVLAT6Jylx1pksMhsFP7wa91Bwl4yQiAbb2T8Nxi5zPbnYie6fTF
Q560a8iIuJ4Lb/nk5K77KgqybhKmC5upTpDE6V48senVV/VIyASHVMeZIirODiSLkfFhLhOpkEkW
L7cmLdMGO1B6twycjcDzg2PFqvmoadCuR8uQ0y7u4mkfQRIL+9IswpG1VhirrLn5DpUDrxNcZa39
hkgAY3CMIH6KCkJpZNPvim410zl8KPcjuskdYNQSpWCc82nb4FRbYHVSfig18xAJnAGjiJr6KWQg
XV4rPAe3aReMXweT5cpQZgv6M9vcmQEz29QVet92QfGKCC24S3qW+2QclP1rGnh729PGjcew5NYa
tNrOeWw+EaiWf+tmt/8srNh9FKBy7sliiHez1Zj7nMLoMkBLP6Wm2+EARNC6Y2KUc+gmSj8q16nO
QdI5b07HJe04DV2W3ZSXwKo7xOyeddt1XkZ9iIy1K8b5kXi+Fa1gWOqmHySCLDR6152X01cnXhoO
aZdtKzfgyMxhecouPSrm8KgONDkV2RAIHNtOvMU9h0I26pPlbOZ1si9QCt8oO4+ek3Kh3ytqr/uC
6kfhuTQGdW0PWXfEDNV0jH6n94K4s5DdyPLkMJsICSMXLR4L1ccbYETPDSv86yWJRmBiFTYWaP0p
11uTPBBFZj2yRbXxWKc1jnPSQ0JcPMmnmg4VF5uPFKOr0EpzMDVHnujTW5I1OemtLmIM9umMT0Yn
YyjrLjiadX8mcve+19hfkGU6Vt+/mo2/appmlGuZ+TpjjyfaDmKT+sRadLV99pWveRJlJp3/UsEd
2pSOLnbaWoHwtG/4eM1p+Rr0tCFRNqN+ZPMFk9tx2aC37cqYT2Z9GM3iaZzYd6hsjLHYo+blq8y3
uizze2cVENPUnzVc0W3jt+o/9fH/rj5GyM609c/r46u3snvrfqiQf/srf1TI7i8eoBnhQSN3XWlb
VKm/MyNI4fzF9FybctcNIDisK84/qmRgMH/YBcDYSBO1zPcJtPUPZ8V4D36aFUukBCYkO4v0JUJr
f2aNNVEf5Gk8+VdMfGFPEmtr4e1nbjA2oe6Mml5RsIlBDJwVThXdVOXMI7j1TAPB6NJzVT7mdOtG
ce4632mnncHS0Y2OQcQVHWpngGYrGsBQN1nCUFzsi3Yo3PGmNzPF3m62BdUBA0+/j/d9lxf+9eA2
3QcBrPeYqUQUWrYBFDfxxT6H0wOwoolXCOT8SOA4+xzC6hS8K2mVZrPhPEyXg221gCnKCWZ+mHbm
2vzDFeuOeRPo5g7JUfbYNpH83OWLg1iTh67FTQYt/cqHOoWPYJavBmPbipeY/WU3sQ1WhxoXB8KY
uSx2+DaD2ww42eeGFc7WkNX4RQ0uTxykjPtKE06k2jXwGRruxLPdSQx4VJWB124pYHXqPPnid17z
ancOLgGrUvKjksFHPs03gdkyLh4yOBz8I7oM2nduladMUmSFtetTR4YTcnT+jCObe52CSg3NeTa3
/Yhdd0MRLsk50hVHohuBbxstbziioijutKW7F5Zu0clu5/GwLGK+l509n3kwrkYECJTGJuLAPrIa
VV+5Hrz7lCQbZzdUtnGbFGVwYNLFKrqaLNT8ffmULIISPNDVHY9YEQ5TzDLNDXr74nqD/clAPIbj
r7GdWyirKzqIcrkQQpwGZS0IcLx52Cq9jvBs+Dssr+3NaERM1UDEHXOX+MKQfe7yxZiLmvFjbhwa
KAXQae3lA5eCIHDGqh8Xc45utNFU15UR6+LgLsZ8O+nFHyy82YPbs7Pb/PFv5N7ukFwMz0b3Fyqz
+O7lHIgRac8pfHyi/5B0jzlxl+QMpnKP+BQ9rRWM0DNJbBiXHbtzy/z4zzrufzVxIPOVg+7PT9Tr
SiPv+WkhZ/32t34/VANIXAwX8DGQs7YOCti6/X6oSlZ1riCETQTsw1bs1/87VB2HLR65ndIPGEyQ
pM3g4/dD1uYH/pawisqKZd4/05o6677tXxQLlmU5TDphqAjMX4I+9cd9HHPEUVfKak9eGcHNSVPD
emC3tmBJhbdYNWmwZhcjNugMET2hPGxxypfR2WB0fe5ahBUiR21TMbQ7YFCGYT9YOTL1IDOegrro
tkyPPbTzZi9DCzU4GHWkaekq3ZrAi78wnex39SqBwdYS0dy4ybQF/TBALKFNIrKsHZHMGMuxamis
dan/Trr201OGT2BV8yJ3tB0GQITW/PgJEKXdDtWAdAVDz3THBEAe4hmlmd336/vi9/6XS+R/kFmu
6t0fP3Eero4JqoGnqcDu/+Pr2cDHJzZO9Wk02N5Mcf6+9jSrlPD3SuhP83h/1HN66ztjbUtjjx5F
Wrbz0ztbKAqXDpA1w6Om29ppilpoZucDaUY9DnbuHuYkjR7+8dsTcCxMHtpAdE3zJ/Fyatr4XEow
3dpPSDM1VltBx9DL2+rJQ1L2z1+N1CfKEvTavlgX1/+6To5lMKqySMHt413PLmVbLPvJZxh0q3P5
9NevZa2Yu5++OSm4WzHiAdBikvjji01ZnCdFZqpTk0w5DXQSUdQ2TUGkbmsx3JmT6Va3mucPGqDj
kou+3sGy6f7xe14lZwKTp6Ba41D58dfIrU7MhXZSuEYZosOpmzuoLFH0JP0apcpfv+l/v4Y80wL8
t2YHMwG1f0L/tY3Mnb7101NtLct9hch22xvcwTUetuQ0d4pmWJSgLP7mdf/9LvFMAWlWEkIoBamd
P77JLE5HFft1eirHhtn/wLc5Onoc8UDr9J+91iq1Z1YiLSQQnIJIn398LVcZozUkUp2URQEH0kCw
xTLb+SoGmPH815/n+rP+5Rr6/loeUk0UxERke9ZPX15awLltDa6hZV5Ga1tFojjnyhl+N4f86b3/
00T5t9dZdSCrjJ3L1f7xPWk/71q/mhSyJJBcrM5S3hR56fS2A6LsRKmCjTp2PbVZ2jqFrVLEyd+g
tH+6dtbfgYkcB53lM1k3f752hpkIwQZkzCkaOgpjC0TOJiYL5hI5c3GuYHhsqcvnv5Eif/8If/qI
bY4gnzUtbQMg5R/f+kAgUbVEQp0SUMKf2tQvzsQZz4T6lcmhdWrAM72xaijGeYpFiHZyHk6jX05f
GViTolAzWz6DQcLGtvYOkYr4x5Iav4mc/vQb+p9+T48vhtp4xXj+O0rZc6IRDr5xRBDrv7Oqc9tw
aHLJV5T7o09hnNaMj1PkDjuDmO6LScTQymWMopPOKvdK9jI64dx1bqThd8S6DUmVwr+TYjj806s2
ICcWKDVmGSTGP3dipoRl0OWjOhXSnDN82eQdgLPp+t1fv85Pdz1XDFgfvjIhcHyucuYfvzplIAyO
jE6dgPMv91KtUs8yqzwCK1zv8a9f6+fj/PuLAUq3v6s1oVn/dLTNQed17pRynMNd2cZBNGwZ+egQ
rWnGBG4VPk+sEC09ic+kQ8SHqfL6v/lgLdNb78QfL9fAoc3FP0RRwK/z03vO29qwuTOio9BjO5Mb
YHOY9nJy6lOs6+Weds9891YJu4KZTS9UJ4A2EZi0Adxq1M8gTEgu0Xq+Y/CFiLtr0hpUIWHUKrSz
Yrmw72alg973Ycmd6NuAsfIlmHOSWfMWBIhsWn+dz2UMggPvamhNDlxmavYDvBT/kQAW89hjkblO
SjTgW5N83CdDjMv9DMlZb/IyGW6L1uzf8giy3GJQxtGcIzeVUxmRPWV49bksGqaUJTuf49JZbrdP
RbJq40W71ghVhligbGz3LZGR9VHqwnkeWfk0m2lNyA1JvXC/5UPvkt/R4xTddUGaXPAzF+CCOFqs
dlDvOuHwZkPvfcPtHNjYeikbV+44e1sihGK9NxPfPYyuSTFUiqn7GgiSjcq0EZ+DZoSDwSCZ6427
P872JLzx8phwjfvA7jg7zU6Lzwuu0+2Uyfgi1r/beRW/xuwhWmnUmnAuaAOfZOXMF54z+UvTzOPt
94838vHM2GVi3tekBqBsXaCQn1Bn+s7ZNovkksWSnDC0PWQziO+nFVStq7ZfOKECazLIa8y4ImHr
oRb9Hl0HD53PbvYCeDytaSZP7qTcTxq2igFSzizvnMwW6+SWnzMCorz4PUZdrK/qvTXlWG6itp3j
g0Rfu2yY+MBQjx3nmayk1t4YNp9tgaHkPUdvt7eY5L+lHinsG24aBPmRKsBejsbE0DADyGcOzXSr
ZrrXrXAt9SX3e44mXJgviHHcfOes12ExVrgLNJP9NZu0Jy9wsihgrAKCLEgkriVR9MsFMxhhdxGt
14zQfcDD4hlAbYhz6rY6WV0jKW+ALKaUIMiw4wLb4SCu35IR1UU1BVy94G2ISInYWx51QseAAdV4
8tmqrDABd77ERp6esyDfyQWbP0Oh6RbYUrPvU2Ed43FZs3vIoSBqq0W2myhIaW15NcbMg1irqa1v
d6QbOuVy1o3pHyFxRE9xL3aVu/IA/DK7zLxaGEWeuC0WccjUwiBoDUsxVep8DkAcIJ0rWBnObOIy
yD6mMS3ofmw7tJj07OWEsdZtyxzxwuzaL1INtyou53NqyX2SsPJiaVmd2SuzWjBwrkNKWoOceFt5
FrRhkmX5dh6AwSCrjjY9WrlWdM4F5sBtOxFSyuhk2g5z4BImbEOYatSzH/nFjuQ++yoHHGHqjMyl
vhwPmSxACi1Y1JLF9BmUwKFSMnnokvkd8OdbrUmKSQHWbWefzZANxYM8pOC1WV29jILqnHyUgKea
ru0v5OeeF7IrNoOtbhKf1LrM9Z+GIbqqShG/9ozPdok7T+ckLziA3bVGKuz5xleOc8E83txbyOLP
xkA4yLIgyhLNmq/rFqmAV7AeInH3K9u/+jhbVaoBIw1Rs5ljJz1blVtZm8iIxbX2cn6hKieHYTPM
9vLsLa5DPviaLdsPtrxij9fcUii5yXbEN7PNBFJ77BbxM7SM8XGuPOqHqkP8uQF2NF+IhXR2UcEk
0M364CsivPY05T4S1WYNB4uooi9tbD4E3jg+iHGed86i9W59/rCxqmpUKKpuiruuh10guNMQkBrM
aDd2VkVhO1OLZAHE/Kz0u9A3heIoKkeWVBFPBBFLcaxTWh/GVRkJn3O5l4vpHjRQqzpsa7u4Jfjq
ReQLap5xDZ5rlgDyJ8wRMpvxZKR7L7XZldVkGZVp5t2Zeur2vtAxYVrxeOXoaduTjXlOR21iREN9
9cVBWRpBK7I7FQ6ck6cSbeOZRQ3gBXsMuuMyFFyYKbUDLUJu3OdzK3bF3L6W4Av2JgF0n8FdBt96
d2Ld6ZcW7sbCE5+mEeXjwfSUgX1rZO9caeqxcmqO9bLIm8lo/Ps27+bQqao6NPpGHOmgJcY5y+43
NaE/v9Z2EOzQsc44ypyLKFzzIqMW/ZUrrWvUziUlzBrSK3J5n0cNFjKi3x2a/zRB4Zu01pMBVyu0
CMQlrV0AkfCQLPAQZnFOOq/7MS1mdy8AjZympoQSWjX2NvC5BFiJojGMYu8wCiPf++xKCC5QLny/
rkJU1DlQGaz0FKWNvZqC1NYhnLYZIusweB4XtiwvPuODMCqkfRc3Od7PRjjXMoYD0tYLfkqvsbZF
MFaH3ATTSHZ58Kah4oUcNE04dKNywqCvWjJiIy8gDqoknascEf0BCoxfSnNybrQZVLfmElH2w9v0
NzUeinI3Z0blQocZ8gMREuKzB9zuibcWX7FwCypCE9eQLUPOv/a049fIPzSDcDLON5iBhi4E48Iz
HeQpwWnV4N3Qsa8IN0aqRBNW59yacVaAIL+MaZGj4fD626CbpqPTdAleOxkci2lpT2NQGpvBioIr
lMLRhXCw4EBgV/G+4rr8XVbL5pOLFGTv+2n2TXqFisJa1NUJ+gKzpDRvXwTpTGRlTbu2qdw8lN5C
znEHyvHNrN0UeIjRGae4RvTGwxXwXgPkcIv6WV9Z0QwTsEoxkGq1ywr7YyQMmkFwDWXVk1DZyzhe
I7B09S6scsDHlBJcInkGwoRcDrPHwh33aH9nmUP3nrYZZzY2iiLnEGizuA8HVzSZ99xDwBTdB+Ik
JOumW07Jt8QAPNKrjnyS2O1L2qTe+Nb4SXmZvNq+UaOnn404Gt7dVgWfYy3bkgQVaeRoIpfA47GH
eEfgSi2L8mj47ny27VTGu8IfcJ2yGDWzokF7McDlSZu02sAFskKqqPhmtmdBCBd5R1ibI/QtOVnE
pttPKIlT80IyRY4CYeSZgQt8JiMQUyOyZSTOWFFSWNBWtGpMWpg8W5LQK46zeYkfAye1YZNhujx5
cuIxYjEd4rrM5codXownhYMEYXPF98ZD4eCYdX8mKlF/1PRGdBjgHkosAt+aNlBfIuLRiGmhxLkk
uK5Ltj/tdPRNJ3qZPdt5M+zawAOjx+vou3a2XNLQAiqJ2HOSz7CECUTRXvslql1FOWnKsOnUM4Ux
NLXIh7iTNQ++A1VwQYq0cLwSustFVbyYXmluzMB4EAM2olSU4LoFSdWL4W/akkUtKoZiM1GcbIUA
hmiVCAIDemz2p3A15aTes9xG+G3QJwPbIehlxpvETsPea3/8tYeecqCXJ1AcG8MeVK0Is8I/213h
hRYsxU3hrYhNGYfsyA0wilzOZjpZV7NXHPRiIV/iByeEih1IuM82RTHnB9yD02Pj2+iJidq7QJ38
ZtSms2kWTBP+MNhnxWB31zHNOqt2zo/SZDxgTwNSnrrVhxor73vWo2agx+epQyF0Bufjgs1Szb4Y
e8Qy/ZReZ9Z0yMACb+AtTyFNtc++Z7odsaFABpj8o9diezMLFMhdg7NXgyS0KQXvJqsjoDhPWZ/0
HURT8h1ro1oOlq9WPpX80s5GsW/n2r/qa2YHqGpPoJXuUbC9Kd/dVxikqVPkDQQf6IfN57FYbjXe
QvbYz/i7Lxy5DIzYvl/57fItbeIXS8oHYZeHmmo6LNP8TZqKdVPGkFL08t3yTMwR7boOMizvucoV
yv/Kfp+kRWEFM2EbJDbQu7bfkqKwT3V9NSViRIjhfxSDrHFIMtUGfUJHEI9afyLr6GMa1MnHyLFv
cMiN4Szn+BNGx3hhZR5kZ7etgZ7NqFor5SDA3w2NesWL3B11n1x7zbMZDPqpCRq5Szr1KJw4OYoR
wnzbDPrVsNtgN40DElx6mGutW+PYTvAy1xTLs+co8YpPrSSvgiAcbIE4TFXjMx4d07WdgOQ3kYRn
UUKr1TS9IDq7BuRutPukmB5w28qvSKFm42zUOQMdYJtdYB7sAW/FVR8UHTneZPLhv7Db9efZTQbq
l6EzxsUUB8opRkMi92LM6nbDVNNN+42Z5taepEt0Yhn10FE4WoB0RUejtp1Rpc3GkAxN/W6k5cxQ
d7cQ6z8HcRZ96yKfG5BXZcXgoRPDkhrQSIGNqGiLYi57vYWujUM2XncaKNqiz7AajV1kkJRZVrC6
U7VgLeYZ9xI00XwxXI8uWaGA7iHsmzep4YEf7VdPW6EFx9LYpU5YWmt3Yqlp+DVd4Bek/mxdmxbB
rVbcYjPOsBPGhcGQO8Yn/GB1Xo+sA/0z867BfEfp7XuXPhnWlpeYpzlMvLr7BC6a0iE3fPNQWzhm
qe350YZfGiCzaNC3HvTNvbAISzXh133xSb3dqpbyjyzV+s5r4dghNzuRh5qGJPi1JxuzTqg6Jzo7
icdQgDXyJdCCGcG6qfn+ekPtEltS+S3KfEz09AkoF3Fcvn7/IzIoAC75tP3VyjMQcKSPNsbet67o
6cHwdjIlCJzxdoRXvTVoNtn1LOT2yYwPk82yRwBJj1R+HRTX+cQaZSIuWmf8Z16omhArBWLfIFTv
XGAxOftLXx58gqQ/VarnDaiUn8g5stx3DF7uPJVbr4U2+dbLDABFNE7tqfXK6S6bqHcXY82izTT8
iXqe+xBvAMbjgll47dH2NUNSY6Cc0+ZAqUZvr3Uu2u2QRWQBqIWpCMNLDgNN5FdkIhqo3MGDjR2Z
RcH1j9P4WlZx/cbwD3ZqljJRDJYr2bYdgsBc4s7m2QFVq4yXat9n4+heY+0xbzxr9K6qdGFDtngM
r6IlO3+/7gwczPsBzwDl/0r7aPPlPuk7VGHDtPoxdYIo1iiZrqHPdJf7XK+fSa7Zsln8J9/VdFMJ
nLE+Q8rQxf9wIZW6PMA96oEnYY8WM1BiFJVEYEAX3fsuV0CPqF1tIJjzA/PUf4xtaexkMpBngLl1
2wsyq6dSmK9YjZd9VrrtSeAX2dZVz6dlEUQAqMsR82XgB8GVbqW3bQjkfE0g7aTbrM/kQXVc94lB
eY0zFW/w98GThfb222K5DJUIoT04Cz80ncivZpRYOtC57OG5t1nYS4twyoEY8jdyuac7sj+5dYyE
W9h1cMV5wLDPUW1Vb5noeiLoJ8OBEznkJrKjPLIeaA54h6XtM/6K4jijAsZjd5Clsq/pW9pP8G/4
AwVZ9Gdd8TENHZyIMesh/a03rN1lyddiKeq3JlC89KS74Zz3RBz1jFyLjSbl9W2BeR+bTOT6hr8n
W4Udqg3etdcRR2spWo++/ijNQKK9heLSDW10Nnu+nb6PuNlxtJF/MUsmFqU89C1erxXse3EYgV/q
Att8O3rIMxZ/sa6Ie7awHvnR2csdfvOezsfblhyHB9PxGH6wFg223noVjGhjrr3aY6SArAcCACkm
7WYkH+Xsi8V8j80UTIIfGBWm7pp7umo9gOF0p/AnOR+lyycFPcx4AtYbfRPAggvygNdrsF1j3wSm
4LOKbegJATge/EAr3iQQtH3g8YdfA58+OaTBmF67Sk1fpiFY/dIU5C2j1DrG3lEC97QBalxb3VDe
JGOvn5Q5Bl/rwY2+KRw858FLcFnGI08mV43NfvbEjOAbbexpkE30OfVXskLXIlrdiooB9zav1R8Y
jf/4jv/Wd+yu4oM/FzpcVFn+2lX9D/4K2/r+t/4QOshfyExl0gW6CsUWy+3/L3QQkLNW6mxALf47
b+sP9Zj8BV3EmjREgf4bYfYPoYPr/MJSjouZpDX21/zkf+KxsCz7p0E7WAbEFjZXJnQaBG3f9wEf
bw/obbv//i/r/zjcPEXvluZVaRpE+mkIbqBSyKGPjqq3pnqXYZyo8OkyzdhzwljOzq9759cJiwTT
xkVBbUZOeSH5jKiPTQP26NO0IAmmqiRXZjt21nsc2PFzMZGVzvbS+zS4bn9pTBxlDCiMaK8q7Ark
CRqCKSf/Mxz8SdYHA8H3EdR8eYWrH77l5N3nbe+8G6MbzVdm19Bio2HoQTeiBXp2skiL625pFqCv
rIrgOLuFo7+mywxTyO5QUPsr24HCepm7cQtbBapfa2JRo9b6PKbeiLxNM1m/ZI6CD9KQI1DvM77b
xzhC50YTyLh5V+eReraSuUHWOdLztIwG/JPreyTTw3549IkSOnWiTw72lH7FgTvvlFAq7MxGEVFE
6saB9MKnmWDpOx+AB4xOOTuXWaRRsWWOTzZ5yXJ50zJ93vWW8TYxtt3gBCzGNVcJ6G4pnV3DCo14
DbKit0siGm+3uEb3wHjduwwItXdWr4V10lI2FXRJGb0sRSAe63Uk2/azHZzaqHcMsjRqL1/3SB12
TnCMrwPJzTvDsWm1fCH4DCjDG/zIZ19WOQ0Hwl0WESOoFuaYJqabebyiSEWVbsR1shPwBB+aMnaV
eYhiICiZhZKrR722sfvxODOcxlgbkFAZumi19sEcRUTFFfZrvbD+3CydsTzJXGCBAH+2ZmYwM81f
VBvoEnsBQjST0DmXHnE3MobquoOt09kEEBJ7JaDLNCc14o0muo355ujoPS/HAQ9Ew25qF5ZvNGIH
iDDLcoqe1LA8BEnk89hnHpJl1ZiGyqNLdZHVhIkve4CLfRds8sVwACl79rjLl2gIW8j5jLzEUzZ5
28Kz2Um1F28OSH6BuStUtc4SkWN62cGdiugssnJf+ln3bBjJ/QSmZNPyMvt4QWxYDPNndBqUtEJF
WFewEeZpd2paIusWv0mvm8IwT7WHUQJ5m32WBsjXrLNIwjMSGEssOGhA82o/Aje5MvJ5OZkNt6bt
5/aznO0vZc88u8EJtUmT3gjdPh32jJV7tNAOeolOje9tRW5Gq9z4qmG8yQi5ICmrBm5n8GB2iTp1
mdRnmdFsVWGUYdwY0mCmmCbok5JfyfR5FRP5WzJC0+83Jksut82IM3GDcUuGQnxdrpPhTs31gcDs
x14Z8OgRWDHv9iIm+ql1x2+fXqUgBFijTH19gpWAniKvZ5pLAMuCm+0IQp+ZM5mylJY90qcGHYT3
2Dj5QxaoaxCrB9lqk1CB5Qlr/KEyO3mGD/dAa07OOW1CYM67OOXTj/0kDAb3uWuaQzBPl9Q2MClQ
He/bOu93Q7QwGIzcFwAreKPopNnH5L/mrklvVY4+BpdEPyoD5X1jWaHs6cya3uMQVMEFPi705WKa
GI5IEH2B7d6bGLl2BWipUMhh5NqqO6vk+/APTDOYESYS4Eybf6DwVJsGCdzZ57g869aJ2PY56Q2x
ECnB6Rg2uCtW2l9zj3h/x0pvC/+hvJloIt+IEACCrSNBbmLaGVd1bbsPym78c1UTf8MX1u7rqZaf
RZO8mkZHzq09fUv6gvWO6HQI/Sjf4P2bQ8+I5FnP+GPJCpb3DDXXps2XpywVD5Hf3tNbm3uOCcaR
qTFiXsn8/hPnit7ag4iGTe306U1qU6M3fdYfTL6oPaEk+saLveTBmSZ5aSfzYWmNnhFj8bmLWfKk
Ut9iPt2XWCI22HHh0ZbdA40ApwsDpEib6T51qGM9RrJvUJtvSEjj6YCDb8osyu20f8oJT97bhEU9
jtl4qQ3yRCarT5+FkT57sVQbUmjfukW++rF9YvDFmNfS9b7Icakk9rgHaXOq/PSAMJnSLm1csMRx
cxiD9qOkEN3RX+J77e2nOhLElJBBS7AxVrUrrxnNm8RyHjQZnHmXvPiZjVWNTHSCcmYiOuqdb8gv
DIK70HG9MFvP0toI7oLOOXQ4Fx4mvjrCB/AvhxyjwZcsiq3X3AuA8DiCW81gZ4UGkG4G93aTnVmb
93uPLfkVUqRggyJIkUkjGTNmcx6AKNfLKan6Y1+n50FF2aHPTRSFQC+hMhs0/lkeLpEUm2B0Vwmy
q90P1+D7WqXPwc3MsuQ+AW61wUjYXHK9rh7GgXFU6iXv9eRDDbc1Nn+kyOWYP1susuWoukhWPzhG
pNzZ2LGHubtplCg+hqk8ymB+RUdAJgrvh6FFlYXwRtXVMDsnxqTWHjIWS+qYBvtm8lyQEh4ogq1e
EuvKUx40YsMhkUXHzmf2HyQzMG0oCRUFHrhDW0m8R+GUd1gnMc9ULenDPc+1WhHGym4q3aINJC1b
1/rajssoVLZd47U3FXsO4zkxxvXxPLIuBxJtBN7NaAr7BbJ8eWvGNTZ9d85dePowRvRDmRrBSXbZ
cp4G59mdzPrdaAcjJne71NneEyO2USe3RmxsbjUPR56z9m7o5QeElTsrEQqi9tg/dF55RxIa5tPM
uC/mRN9mk/q0lvR7PQEvaBb/E2Ei+RO8+TMqyX5n8fZWhHPzhePVPY7WHL2teJPd6EUtXjXQfWlF
Opif+wrFaZ3h+cYJp7rh87ou2dGLGZd4GLMXkqTROQxd8M3XXrzVjNPJWHHyN6D786MYmeNmOvjs
ZF4dFkEhXgTh31ugDyY72SR9KmMGwNNodgcSvIqN40zVdkLpPe75wuC3T062p3PkQJb8enFL1GqR
fq3b7H02DfEgZTl8AqvMtkUnN7mZeexmeWSLtLYANqjWTcKlJhcJ1Vl+BcmpOqYaPMnSlfHFsvNj
n0UZNGdR77SWABoK8sM4bhN9bzROcFyE33wyFnms+nl6Qmzl7i2pmJzJJVPXxGx/bbLgg9M53xOc
Ire6jfQzmBBMBQyea9nOW3b5ahfVPg8IJRngwsFmSGWbzKyr1L4pHUcx3fOaa9gqsLX6br7GKiGP
wMImNL7NBzoBK9RTrqy7uh7wMgW6m3YOoQTIVPoxYR5NIb53Czfj4dUZJQYFSQauP3t7lg3qxRxb
Zw7JCGXPabizg4nWsd7L3PPfgdYnjK37WDIaYjxo5RQMms/cXtP2FpSLFMADVryFcF9tbkvHviVu
yHW4b8tWI36R+bag8ggT2vs4CVnBFWNy1epR7LNiiB/xkvatdaHQCrFbv8CkOfn2+LWKfP/Q1GJB
d1KTFhrF/ilijLhZJk9iYmBw17pnIB3EgzE32OYVaTGTq7+gVcHMu0DvLf8ve2e2WzeyZulX6Rfg
AcngEAQafbHnSVuzLPmGkG2ZMxkMznz6+qjMxElnVp3TBdRNA32TsJHWsCcy/vWv9S0FktTNQWhp
XLjsyKpD7HzuCBWKgbRyWhptZxXrtD+V5rANtbimcSqeE8fT+1x58pzERXWm1a1YZ6wipzne5X2t
H6hrdPam9Y3IBgemNKy2aRE+I0gWq5x1ZGg4YoN5R20aV69kn4Yn7U3llsTLYQZUty40aCBAUta6
Mkq1ThyYLvlYczmBFUNTNQ1pNbzyOYu/DgTq8MYFO1PyFBeBeh6rstpiamLplBTnwUsm6tJkgXuS
o2HeQtuD16C4J+bVsaqch2AonL0Xie952T1XanJvDQ8lpWBOsYlasHunlE+rdqOAnrF/cPWNoUfq
fmbDfskHjWcvL4DTtRAu2Gpxq5sMhzZ1EjQUBq7TGNIcxQtVdcFpAipUjbuq4UyXVGHyI9OQu0cf
zF7CuxzlAzKJU6y8UYbPvpVf6rhzrprW9XVXlz85/DYrYCJbK52rNVUesG2c/naMm3g3A1Z71lCT
NrnTQad0ymDr4NPg0C1BPEGiw8nDxWWClLYLTLe+ejL8Zjbw2oNs9PZIniP0dwqgggYs85T7nHos
FdyaKr2W49RdbagXRVUP67nRGfsTc7qyxDsR8sAC4wE99/ueaHvgDxeKYH5UzBu5ZbyBVH2PlEfI
uekujLkTT0a2G/L5GMLz3M60kOXk6CURfcsjgkQlnzrAyLqrE3Fm+cjlMaaWr6ODYacU421va7EX
LUT8yoUUlaZniQbIOcE8mZl8dv0Y2mYyv49+9z3sIjRuePuyEvdde+NX4XNFunPFOBV9NfC3rTtW
x7RmzutI+Bci869SUX8ZBNU+4+a4siOprmFop/SbmKzoHXWfDpzOjCY1120302OQyci8ZiEbHTyk
d51Xs0/KWBhzS6ChjaR8z6XBNMhsTlI2R807+Ouk4w+R0cKK1RJakLAblDEnb/tV7BZveZUW1TZJ
rOLKLQtXy1iJnANepf2NHevyfmht9ioGJXZm6mX7NKHsaK1sbcbrKmvVmz1YyZrlC1QmV9XPQyfz
Y9/H/ZFTdXYM/LjcQ5FydpjhovNgdt5O0z4K3prilCq4DfBC3ZWJYf10k6Y7z3HinViD6gPEsUWn
DKedOzj6ySmnxWJuvzPDpzfoswz4kXk7z1HPvr+KLgBPxRoR272xTA8v2jyOe4ETasOao9r1YCF3
bUC6Q2PNCOn13vfsJTfRCHqtqKmoIa2PP7cDs1gKSjycTq6xXostHLPw1rNab6F5fZNFR6WE7b/7
Uc4zxqH2BqRLedDpdGTXwTpr6K+YuRYXXkwZeRZQzmMmmxqD8iYt4HoZCmSLw7kSugXfvgmGdcdn
J/JGjntM/TvHTkuUAXtdjaCKYgD+R86NR8oFUkxvRb9bWoq2XM0hshVuuc0z+ihjyP2TIR+61HD2
jMIoLmJM3/osCDhJO2Z2w616aTVnWrhOTXAum1KuVJY6GzuEBIOLfm30jB8wGuqzP7GUJDOdHJrM
WcJ3Kl1lbWOe26xuT00lftZzdzMF7J6W2cKekyslweEWokYBS52XsYK8SJuyvbXynG7lwbBWHsuN
TVZL40yJLKw10NlZVdxEnv9SyaDZc76u1yMFMCtMC7vSMvfRgN5BCI1Zxo0ngHhsDg3ZUd6TtB9z
pe69qr2ZFCWlmIM2M+gbVAbmLFtgBMGtuhpaRPgQG5EnmrUZj1yVXTM8xPDftnOmXA4tFEXySV13
rLlXZtdyjXQtveEA+K3302+J7x6lU9+NbTUe8eLZeAfrM5foFxX25c7pxi2jFu9ka/LXbc9en0+D
eZ2tzt7jb0NGmbnpOq04amU9YGM+StoBCb7TNF9bZcCgM5dfasdANhmGQe7s3Hri2vlg0yXMI0If
z7yByUsO60gzDrYGVLFZrToUgY0VJsMplixuXKf8hj05uE8jmMucZvf1UMcbbxTzM1nWO3+mZ3BU
lk2xhblrG5ftmcYVDoLBNTYenZAU5PnpUxHGH9Kqr81snzPpvQvLhor73lps2Fv5U/eTYsxNpm1p
4StoimBTpyXoP5Vu6NX9qdqFo2VkX+PaiLe1YzNkKohTEDwQVSRayYwXY1OWaAGxBcONq9bXtErv
dMwFet102hvXisDYLUF/m3xV7LGHiFhlDj1DeQ9dkH/EnVyRvaSaWdFu1EDP28SQ6IfaOyvaE7Xp
wiwCzdKNEFV2qDjRiVuWu8K+5wOrsKa6u7Bi13unAd658j12PQnQ5zvJVY04aGNpl9VqXMdyNXIi
b58MxyuaXSEb8NnayPD2CCtGasNewqewqO0u2aXYqtjPlzxHLlUv7M+Nybx0vgRNnI1+1l5CEvco
FqtPEfp/Wq/ff1QLPrP538s3/s7hgutc3P6fX//a/Pb36KNaqJu//GX7GRa87z709PDRdDlf+pvL
f/mX/7f/83eO579V4l3z3yjxTUM/Flyp5M9JbhtnAl/3hxYv/0GMZZHn/1ZwEVjwjtBTuRn8M23I
H/+IcENJ4uyADcLGXej5cN7/eLB3v5nWeZ7+y4jDYl3/1dq+aO2O5dMp8Gnq/9XOj1VQxm0fR0fg
D/ONWWjKQlMGjZWTA2DZmBQdfKd0rf6+EMZPf1pQ/P67/LnNgOXC3366S6jHkizQROD8Zrz/k96P
FA2qGEfjsUipVKWbbd4ZdsPnkj0fu7OW1XFbuwBybZht6cqqJwwQxImpEWaOfSZYDtSkihqomVzS
l3oZa6G2ZKGNtziBSo8tggZIRaEFPaJp0s3nMPGnjs+lsrcQF+abwMeSzG/JBXbCCpNd+7jsP/yU
6qh1nbBs1bFgmZfChnqoDa6jOsUjLAdA37PP76tEPMHxdsIThlOeN0IqJVXMDrsw9pvqXQTsk6VJ
e1TZGeI4dZguIO44nOcP+aTQah+tcO6Mk+SEBxEeidn/0Uci8nZD4HOyNvswSrZFF404YLLYcN9i
M4B/swo48sfnqhWZFJR21Wq4q20f/4IfySG6zoERy12VTVb0gO3a27FZLWrMg1FhciVv0Mw27OaF
e7Sc5V9GFqmU11Fnim0/lulVZGRMGR6YcWzSJNow8cODE3JtZZ5Fu/yq8EICYisU9m8Fm9fb3p8q
YqRzjjrtT7VaoVXJVwCircEVeYB+gTtw33nzpuVvq8rs9Xc3rfurz5GVpi8zEgcQlxYzgF1thjDs
X3V+T+1hvgd/g5u7kfleBjule6yxfe5xr+NEUju1wtlHD5fLSgC7UpdUa2MKwvvem8ZnbqTZq7kE
HX1yEGvhdhUOvsz9MMoxfZBNO67qYKw3uPTwbZdWcmxlIN5SF9lmiGPKTn1dHqlSak9OmB9sy8of
SLhn9/3YlhjcMCuzWq3pUhgoWarK4xhMTz4XWo1JJmi+uZUVPhRZ7G9GJvRjFmHhNoe2OPtm3mwb
PObreE5yTuN4DGrDivcRFMDvXgQ6hIFUp3e94dXvUc+tnwPIZF6DSS6A0dQyTmUMYIdRqTTvNbb7
/VDX84uw86fUUBSGeRGOH9vJvifw1V48yYfKGYQDYCWkqYWxGoF8LI5aDB8hmMv3GeVyGxBRpMwm
jtp35MVtOoOsteLBWWVqOPdO7N7mGXXIop9p8yLVWB105GTHipzgTVj51hs1BfJKhTuwEXvAC5Bm
+ZFcSsCEUTVPDVyuWzG4oLBEIcg9TOMVUiY7tUi590rF1rXrVfpal3H6xitKL+7YiXNXzfkBPAkk
iNnJv6uo9UClUfuFMU7Md4TYeoaqGv0zIca2CpX0OdG0mDoNA8neEGNyIyct7rFde/CMlyRCPoK8
Z8JPklPJ4HvbIYhcei2SL2Njjj24hsG8UVmfYAzK6idY48MjfRPqJPAmb2nTCd5QU9MX3XvtuXUr
PBsI5enJnP2ZREYRF3euSQBMzSMJ6dmMNiYtrTtcYe5Pt9f1nuTo9GVMbbJNAe7sTBXH1g1vcrMq
N2EXm3gElvVZGR1tWJOTC644DAQHY6f7QWWuDdC/zA9LWciqdJnWLLb3e9DE/s7GpEF4w6u/qRDw
kYnnGwIGxlmvdIb7tGLspVF5OlS6E/fhNEyvZMzn725o9fc8IeEtjne8cf5k4YYdig2fkxab/5ge
BsAKeyy61KYUXZU9g/jP97zsfFoMbAH026sfAiAHYIcC9WIMTbEdvXEh+er2DsJXaaOMTh6bEWou
SHjZP2c7ZoUDtqzjrcwgheDxpMasv4nD4k6hU17tyo5ecYzn+xmO0m4UE+3w5pSYN0AecY7jb7ka
bO7up7EnfEo7XHChFyffBzmdDpQX5yuLD+qp6yJnMyMwA+Ec4GEmmRWdVMVIE0lvsbGJ8qarkYp8
waUGtfVseG56smvHevQATNlrszVItNQejdQpTicetMTH3TVpeiDlW39jU8lSL8U0OGaw++rK/poy
sh9zQEf72kmSJ0unzUPkt/7VRgvELFvPNN5RZ/fclDglR9dfzC/KeFfAVbmjWcNDnmDxZhHY+PQY
DdMPUi/phEG+dg9l6Q4nIyr6fdhY/bVvNXGl3C53MqnrlwHD+t24GJ4J/sx7Adv5njubevMWd7Rs
S//nlGQtixaYbKsgiH6gfqRbJ5nR8Vq1GyrZnaexoRd8MWEb0EmydbBYs6WV4dI2mxzoW4FGtu7x
G4Kymg1smLFTw4fD6l3hMTnKT/+3u1jBS8eipy3o6y+SCkVv61RR8U1EkdyXi5Ec3qE894u5nJo8
DblQIolnOIonm/sbal6bX7FKBbcpvsabbHGrd7JBmK6M9iZsDXZhToZWTovHyqD09AsNYh6+lsX6
3nza4JvFEa+iRl7mxSVv0tfTrYIOUCm9Udjo4fAZ1HW5wFnA0u3HT789MhXeey7aymO8wZLfmpjz
2aOKa8L+lssSDQpklTBfpouh3//09nefPn+MXPV66atej5Uv37MlEGAm4t3pmurGiEr3US65AYgD
4jK0gcNlcLLvpsU4EIXlzfICnupcWPu5pWAQ/OIG3Ip908k2PUY2VUnQquGnRLZ49pckw7hkGuq6
cvfGZ9AhIPIg2f7gDU+wA1ZkFtmlkIxwI+c7ZGHiElargD0OffBouRgSyrqxCeJp68n9DFsU+Nzu
ss8Iht2PpDGWXAZxtYoWR3GRn6ENb8lv1CbyrOONp6C15dZKjPoj7hICH8aEDB0uKRAWX2rdLMmQ
MpyaOzXn6m6peD2ksW0fYGmW63lJlQyfAZPQ0v4XzgL200jp7rTqwDz+lIXRvRVLPiXM1CsxHKK3
aXAvbN2kPD6TNkvOKc3B/oy5pG0an4Yl++J9xmB8JNuQm3Y9f0+ULmr2wGRmbMIzbsXtbULC4q1J
+rFYMjbhkrbBN1acu88IDos3P92Iz2gOTojuKqKuZujWZDZ0cdtjGFFr0NrOnvtdueuXrA9K67Qz
Ess/AHaXt59eUYL1xIOWSPDaSBHTa9JDHRFvNtgZiSKIxlZ2dPOInldCb3fDZ/qICBxJJN+sOL72
zbSFxzY8eFrHq2EG8+mZU3mLAsJyNBd4LCOQJciqc4z6mdn0InNZwXjDYZqQLAvwdklJ9WYePZtZ
lT87NmdAB7OCQ2djXd+qrA3Oc+ZxWonc8Gj6Cg8LRjWBz6LiDoZcTQdN16MUjUt0K22xd7DKs5KO
I2ZQHZg7yXmJ31NfWTtZ2BRELS9hTzCMgJvGOMfm2DMacYNAO12JYVposAm1G1FNvKwElhNx8H+d
UdhTMmjREkbrSKWVCYJnTk6tyHzrK6UqNhoLXb51iJWCiKL3ai0Rt8lY+uEBP2/qJQCnxPyu4wnZ
hMToEpHDYOkt9SAxMjqboWqJ0pnCcIBQ00nPiHDG21psIVw987JQBr2E8ZiSu43IOdwYeUL1cCJu
GrJ71hLiG5c4H+SQfJMtET+1hP0QzdhDFEgTeLPUqvKd8sTGXLD7k7t4CQyy8LiNlwih+EwTypFg
IbAWvbN89tDzEjsMlwDivEQRKzKJ/hJOnJeY4mTYI6InhogikPtgCTOOS6yRbgRQG7z93o3G34L2
CJ8KTKwHZYTTCfHcvKGhONn0EXHJeQlOGg0RSsIGcjc17bxWn9lKB24XDtPoWi7JyyBLp1vX5MGB
nt0mc1swJyiIqJ7C4fGvR8O/j6UeOXLBzpBgvWQ+/HUsjUOkCzrakmNa0M+0Mka6hTQBGujhHc5n
xyyZSDlLwbfrzH9XLfj3iLtnw0KwydNTC2oFf/nhuMjYwswqOYLj1t/nVJcw5fP4VmZB9vCvH+d/
wpqgb52ZZpl+pf9Xsk2CC8sb44IfpUAnAl7EU74qp6j6+Nc/Z/EK/mXOB6DgAym1bBPakfeXCHtW
TdAzMz86kpKadrHUztHrRnubl0l7Bzo9Cy59ELORn5ziXflL9eQwR/GtQRkGwzU7vXL7+Sv9TytD
N8l3TX3Pz/ZXLehT4vinUPT/kH6E3uPxNvivnZwYyKKkTH4xcv7+Rb+LR767NKDyfWwaIOVvWKrf
iVVS/MNbiDPwfVx38WTyQv9u5BTYP9mowlAxBR10lgmQ5A9NyfsH301IxnV8GjYgv/+OpuRbILh+
ebdRjOAL3+db8lssmZFfP76y96qqmiLrIOVUwg7uK7nW4BWwC071JRmYCMrw61RKigIJPsXPJg3V
a8cUFZvUiNtqhV0g0D2pZz+0wq1GBbuLp0hhLinzJyiCZQjvVx7x9j8RHx4pXurqd1Og9CTsUHT0
3GijfLFbb7xTxRDmLMsM/cNlM3yu4ii4kF9234H+5fN6tBv3XSha7LCpOcFL61XGB5oo0oFg4vlY
4CAMdUkDdxDW8lbjkZLRmJ455Su59/qwBHzjUPWBZMKWsmvRCNhOkWcnusIKeUZR2iqZLoBRFoZN
AWJ749tivFp6zDdUTMuveUbc+dy0veRpqTgLWeMQXTAfdGsueDiQADpWlMENWJes2nRWYZN9c4q5
PEdDwoZXzs7GBdX7ynBRbl0rpPnd9yiZDcXwYtvp9FCwJIyOIHOTPd0O6i5kEPb3Yxg7R2Zd4w18
YrLBEDA+x2T1NxkxD2a2ua/9F9Uk1JT43mjQkcCJAtU7Dc16FwYsYdb+7LT2LUvKud4Z8GaedC2d
90458QxkeFBvTuTIi8cg8zQOYnmWM4vnIkYweAoyRFNO9wN7haSl+SVnl6JWrfjMDVBycm2EQA/0
20ZhYQGIXWyl27NTkLTeskvQdckOteyqs6VzW2Am4I+5BfN5jVVCo06hGRTADIplDyGmzL+ocmQv
SK1asXbbInxJHZktHVoeedneQcLL42i22L25wYuk66hbl20YvFidASJWS0hkvDUd6wnBl4fxyfxl
SdPN+7ENxFHErfuuxrxuSPctoyErfAIpcC95nHCqz3ZEKGmdYmIEbbk8KXbNtprd1ZzHJyJh/AKD
VYOr9qOUZ5fUgXrLhwJvP7nSrCBxRFvLRo7YUjfSrzz7GvacRnZNG5rRsVV9Mq+iKm1/pGllUHVL
teHKYRVPoV1VM6rnadrWi5+gx3LnGUvuxJEl3x4PFX+Wc0sT/WxnPIN6WBTNmXAzO6rCOY5jTJxj
btireiwQ1o6heBAhefs7zjDe5fMn4tnMxh2alTgOOeU6q7q3eX5BSoQvgyZ6vxjOIh8hymYi1dpy
3gFQNnLtoHudPVOrt9rm+Laq3VEfoiR1nfso7YJtBpajOiaCbnNC3J0Q69pO+P6RIKSznwopL6S/
vS94Sifj5fO3RFbqImRW3CnsRFx+WVd5vMsMW1jXQGPPA2vcCNyg3sDrjCBWYwgdsILtqnx5SW1z
eX5oPDabazsF1ZnYW3WeNG5OZLgETVpCk/bgowCTzyqDN0RQ1MneH3KuUJgB9cEpTGvaJbXKf86z
yzsy9YzlPYVpqFpFriGLfdX1Q3X2LVzpmDGzcb0sZAYK3+z50Mze8GAOcrzr00m9UaoOGJwZwMII
TMGvhbsVi18ru3WlXDmtXNvgcN7YTbDtIOKI9YRP++qZfnhOgyl44cX0lhpUIjVpPLUYhRAO31rG
0XBHw9/4iNwi9mz2i93MimJt9pF73yVt8z018Nuvcm46LzmyyqP0WOaR7+WNbetB82B4Ai6e6Rg8
uiJjNJ0rt2zW7aBz/DVBif2Np6yfD2Pg+njFAv97rVKf2hNwA8t2dABeQs4HaZL2oyNNrTy/0xiH
L9r3uYLQ10HWxS6ItpFqoi+PU8rWaAV27prt1arQjsJzRkSTQSuGzcod4x7Oe/lAhdcS4MpyEtV+
FmNFhu6yMwY9fTh+IU6hbpND2kvrR4768iKjbvR3IGbxO2sv+RD1ODxRHDodVQHAdUrzcF0lxrNO
Df0S2w6wmjojl5AHMtlPFjt7POH5xRoJKOcgdvDkFCwlqZ2iFQZKxFpAAj0TrPQx+aX+5BBdCDnM
Z2lzbtmB11RtLob5WWc3aE4u1q8BIzhWZNuDQjj7Fzeqr9rTxYfrYhffcoTvgZ1P9XQq21GCcDce
rILZYGvSTchCRPaNdcmpR6rvwWjER5LVexDR427uRc8Am5H470rSnkYX3oGX4Woy+YDcDNU9WGX5
KqLBYiwLmjnaww8XF5WVpv0cKlG9YBzTj/ng3MVuXz/QL8TRMWqsh9Cy/Ees3fQzsgKQtzUswkPi
52rLVsl8jexhPDuhfJoj2/vSsb3eV6Nb6b07lFXA5wO/9aHX4/LBHw4YhVmZKvuuaaIKqJKK3W1O
qcwFChXwkrBuzfsmrqrtaOPKz5fiM1KhGhtt38ZqC4S/NDdxGA9Ey8ciJ1jSuSmEi64rDlOd593a
sIDg9KKu1nI02ye7zORbAt8TskiC5aJLnY50GjiJnlBmsx5E+nXk9n6mpay7Mkx/hU9U39COypDG
ekN5a78M20vjzemmZ5P3OAX0sk305t6TQ2h/9s6ov05BVNXvY2vm/X2CMhGdW8qMqOPIyrWq9as9
zeF9HFvhJvMy5HRpjZe+pfwzbzjS+J4+dY0wbrVuvW1ji2haTX7xkRPuvtQMiNvQnez7NIHjIRMv
pBQi9u4CFbjwbQc8+FSEIoGAP1VX+rPAl+HpLzdxZxr3Dkyvjc8EuOXp8mkpQNdR5OK+Jl2LRFCp
Z2Ax5onE50vLLXEbp7xPsQK9WXZEBDxtLsbkOq/o7GwJ/IzVuIVASco3jsFhOawAZNXddL4+yG4g
Q+CjE8Um1X2A+dXoXIa4ZdUHOHNtx47I8TzYHVTyybiy1rb3ZhJfCmz6GHGsL2Hq+Kso94qVtiuH
bUybYS7I842FzZFroXK28YiPNhJBOJP/pX2p9LiF70DCmuMK5624R/Tx7oBEtI+VxjcGNKCveDxx
C1dn3NH00N/AIHPJF0XPnllb55KmrY0lRrVmhqfqoi2KR6q5ehweHD92hD4TWlVJT2yVCRm5az0X
yk0T020xarHLhDk9mYCjz1MjzC/4dblAeVF1wxWoPyRgR4h9FuharUnpGtQO/mo76iyoeniI3SLv
11PZDFuykgnYH0yep85JO+rBPHOjQ0ow2lReqiyanhFpQzrMi+4l7uJXkj3h2nUtyYFi7KPnHljH
ym9GHFd1I4itFuNhNCN75QQoQl7n8Tq0Oh08kAUmRYAguTy9m7LY5ZNQtGgNI6APJ8H1es5jek5r
v8j3anAknl4eeK9G/Rimlb+jvSxMt9wOhwOJAFxHOTggGeJsGTXJ1JBSqZUG77Jhmdic2aw4AC7i
qTtDfyJRYtujoCg6GKHFjLEkKun2P9K6837KPB62SeaRhCaawHKIfrJDoINwmy9HKxi34Kx7QlKz
g/lpnRept0WdVFuAC0QkWfvcDIv7JJxyisL6egl2+FhM0qK/zo1U4pn7W3bTlrmIe5SWERtRC8Ol
ydzqoSvGyHvIsafORAECverblGNBOTjfMobxaBd4ZckHyFxwL56V3UbcZKM+Hy9l1jTbqcvITqWN
DO8bjgFLMRpRg3ISETUWfVltZpFyxnICaCJW9TCHUAFWgCB3ddZNF7dx3SubMlzvQV0bm65yuxNu
y/Y8sixng5GMd5bbNk/xUJww3ZyVnMcNea36tmgq2CZcLfd9W+uT1bvhXkfyhYPasPMbMti+du7T
Hl1t5fZZlu1wrdBeSEnMYO2SYJ6hg0NGSNdVXuKpLWxvfujAg3wbsyJnW0G7BNGLkg2cKDueEBHO
lwz4QfF96seGwsNpvsVgpJMtJYBuxzZCPeFwKzMiMVC9Q3tfIA0axxBTJuAW/4F9zhcl8jE+Yzj3
w4sozfd2WFrSXQ5yCfmIjjbpBJjUnE4ZHvw0xthtO675JSn4kx5WOivDu0o19Y7Y+kob+dpVw5c5
BgHiCC0j/y6yVQ3jaToSRCmM4fCnSf4/sTz8Te8x0Xgchnb4/SZz+l9lGA5LId7O6gA3YCnuTVKO
iZ2Vc3L/1z9o+Ua/+DqWHxR4DncEMp/2X/UeqTnM1+wRD3mcu+/MqUWxbcuasxovg/PeJJIxK6pG
zqMzF9y3/+5Pl4hnAWxsljECyOiv878yJss3J9BuOlX2kzcQhEbqmjhK5Br+m8FP9Vqf86AxsK79
N9qhRaXCXx77b4hK1oQ+idW/PnbCk0ZYhbo6NJbiu5Oi6JwbP6vtp5KKkWLjWHiuuaNNpBEjqkFJ
apcdM0AZ+fkhckbr6V8/G39zuZjClVDAl8yt5VBT8OuzEQVDN9nYNw6+RnYbBPKDm8T20zz5zY9A
W8m/IVa6fxMwTQdVEbizWAC29ifP8k+2mjzuJwptm+pQFjq4tDHzGt4w3gZGC8zPrrrvcQ5j9xr1
ssP7pz0RTuvGMuLiJnXTnNsdV/OtV4MZABvZW9cCJ7g6QQQPXvq4DbYEjXgnOXO52AgKr/lhRqYI
UHGcdn60PSPUVPJk+pB0rBpJ/LjvldsP7SO9O26zm1t2ms2a/Z9wvhIVJRUSUvFdsPByBQNexACa
cZt4Knyh3oZ8an4sRsSfcu7LRxFEjHFt3fDvPdtUbyahw/ESMRAbyw3TZKq2jPB+Npqu2VGqqpu9
jCp9mPiH+taplOXtdWx547axZPX2KYAUXm39xrj9//Lmv7PHCY71f/p8LAa8Xwqyrx/D/zp96OZj
+sUd99uX/SFwin/Qsge1zXGo3fsMlv+B5Ef7ZKYRbKpM3/zFI+dYNP5hZJO2y3jkwwX5p74p/8F1
wDdN/g+uO8jn/x19k2H4b1cYNnSuBJ0sbR+Q2l+4tCg21Ofh9DwEvcE5gFa0dotor7NzzHbrPJos
yB4jF3pJxUG1o6+ibO9jZfTFPsPhCRiIea2AZkUAyA87gYaCuctWI/gKkp7JPQtrE8txKVZRQIHo
PBrDNcosNlkkrMKn0S7dV6/s3wG2rTlLFE99HbqPbQaSt9HBE9X1uLFLfCKrystDZA+LFQ260XzT
DYs1TVJ6/dB4zOitas3XAEUOEcNI7IeyBPnSLOiLakH+f+52Bg/4Dtm48VqM0Egsw2K6m22DLLMR
/Gxs5BD2RIKlVF+wto/6lNAp/gfcbz0hsXkAeTM7cIg+n6hsxqWj/fgbr3+yNoyGrx6sHoYI20q5
xzAcVOu06I4z/u81cXi+sHGHxiZotripvSIogi99OtfRusylyTkJH5+3gDZcZL1DYRLQb4dGH3uj
46fTvQFiKmUL2yRUBQxJBSiIq5gmQpMk1OEODXUhOpVdsQEpbLx1nWArTzce9qZOWBctm8DcDy6o
1CnLMen3HMVeqflCGspGLASs9+DKS5UbP+d4WBpW6vCUxWP8w8ib8Youg0y8/H7N8lvxzgayn/Jf
uDEtL0ZJrzLqKoapnam7cg8nuCdlpWZgBDzJjcTmUM4LmchvoaVE0gLcz0CRZcPFo1o2PoQ5muLB
azB/7GLXx3IvZtCLuBHIApXAe0+zUx17jVCLb6zvdi20kFdlmNLbWWoCF8VbZYZmVfBeIKV3Srum
2fDTyadR4pVs6aVwH2mZy1+0IfLHWOnptVZxc+FYFzylUGN2RDe0t6mLWpxKt4vOYe3EX5CskIyo
NABcyYst8YCQ42sBOvXkENfpTI8Z5L+m3GOUwmHm1qQAibp7S+J2foPwxiHWaYJ9jrj7c/CI/mL6
Kgpqb8Q8xpvITpOMq7zZxtcsr/heQZernYcsOtgc6VjPggvWkJK2bZQ1DyAbYSDNQwaZMoNu25rh
TeEVCfSCaJB7qw2snc5j8QICLdsXEhIOh/Ylmza2CU2TmWU2j23lvLptToiHkyUkoCldhgaax1LS
bcDBsvymiMK55ZbqebtEgsB1fFut2VSy+g0l22p2m5p0SF7doQ8U9w0E6R3IUfxiicMgF5XBiqQD
XEDs30t2EDJx4MwnfDVZvspw2qyH3BXPowUTzy0mLAShJvY9jEO3oqyND4ZdJryphhBaaNuPW7tq
yXuZYTqvu6GhCIcm0ZsOV8XtKEV2Lo3BvaN3mlQoggn/0G9MNtkUjTLKGAHQpKBOus0wmv5rPxvJ
DeJO9H3SafqBsf+oJ176WS0mV08AFkutiszllAqvXJt8zftcB3zojVSTu42qon6sscen26G34m0X
9/AMIFPOzziVzO2c1vEVJq0+zaaqXjBgTXu79k0Mu/ieoCBECsZROc3WUjrQEhGJy4YYY4kngC4+
TLQdcs+m9zyoyqGq7kFVNV8CHj8ydggMEhWv+g/2zmNLbiPduq9yXwBagYAJYJo+yzsWqzjBKrEk
eG8CwNP/O1KteyWqu/X3vCdSN6ki0wCBz5yzjyKQYY0ZnyBxQSzqk/yZa5iQm7IynYFoR0TIiapt
pjigutktJC8+UmHWRQV6WNmV2TWNXr5sp47+W2SSjZXjN4Cew2k+JiKu4OyVH/Uq2n2XLvJcR626
q5fRekEfwOE/ymQ9hHqGXaaqYmjYw6/dA7g5vNQG7XThq0t/4lTqfSBAl5OFMWP0K/1nfgUWisAQ
wuBxtJq7qPE5tC44506Xwc63BMfqZCxXGwTPyISYgB7nmOOZJYp0uR2ghxPuxF+ECsgEuhiKWjHl
660WGsBSAlWzuuOxvdxhc6sXaFXrPwhWXWB715ca4L/l0t+WS77pX/71Nviu7obkf7YfHSTD6k87
YUm1w4/+XjJ5bHepcfDMechCLinJv++E3Z8cSe8hBLgcI6mgAfl9J8ziN8AVSHSIcORl8fu/O2Hn
J/5TG7sWDZygMHf+k5pJXVJl/tSR2q5E5U9bSk8qHGV2xn9oSlQ+IwAtCHVkFkz7ZYdGEr32cauh
NHTEag5TI2rYMirBwYvDyD1ziIX43FawaVupcc0cOPTLfF97ddyerKK2cbQ3U1WC/kyc/rNMveAG
Mpl7RrVi39Ve4Z7ZbNCqLDJr33HqOiY6jBWkzgp2DXlByVJidbwJAZu9V4x63huYu90enAWdo65g
6NoM+D+Qc9MFhYY3UlexDyG0lkFzlIVKun2fm4YHexobxTxLlwcCk8JXKgf+Ys1ZBRusD+any0Kx
TO35qcMDdo5ys9Nzmll1jISIUMBA0NUBpiy6QgiONvSIkubUTipriwSYcQHGW8hrWLFZVY0hb6MB
bYK+UcbdSdB+vlD7eh9KzvNDXVvjyZkS58tqdkeVQwfEnJHdF14h+y6WBhSPzoP1p0/45bZtU9oq
FWZQbJpw7T+zzuzWyEGWL+BuWTxFrZg2s9Pxn9Ei19fsk72PJebnYGvyAjxbm8k/3vAH4cQk0UcJ
OqaRbRNr4HDmXbs5f2eQ09MVmeC9h4XHmm/UwmGmi0W5SlRy5+RWdoO2zMarmGJ1j9Lp7NRhfq7g
Nhjlnvk8cSOa1etMX7rjuuZXfvtCmaPk2ONS1rVyNN/wtEAo5Cvt+zfCk5f5RiN/sXdzjpdxx1w0
Tx+tUvIWatxvKddSwj+DnrjZrVeMfC46s3iNCeuciDAS1/K2ylJxemyHkmC8hnQf8ZUnL2jyolwp
Fia9/ppEoxkqTFX4uhT6aVh777Cg1AfkTlLJK+VO9ohjhHoHL7e1BTDAZMLlAjQOEK7akgs9x6Ie
HfCH8CetkdmpKDJg2eGarfQgHKJGfWPTYS7N1YD2kW82dAaWaRRbDq5Am5lHoRSrXtSuXHyWBMIZ
TZJbT+lm+ERBQvInakkb2lvLTajCmS+4bgB0/WOpmWcN6rQKo2S6zUmkLknyMwtM0vZQVzdMn05w
opyzlU1s3gni4XWn68i+uSTaGR4GXAtgHCVXTGSP/ec8u/yVFQrhmAc318kSzs37aL6iwMGECEG3
eQ9s9hjboRXpMaSc3yOXY6c2TeG+ce3m3QThvF4u4dRSfL4569ja3OyZuUgjf5qf2OTykWgZLw8z
yviHcpX1tZtkCAUu+g4HSS63ZN2wQW4IQe52I6LK66Ly+eXLLUEJmR7xy/PhAcHgyxYcHKmdtu/A
R7pT6zWMUZiM2y8ukNxXKxMTNgKWBVTcbQx6uVPcnD5JkPtVshIsEk9PG52WvB2Rulg1CaratOQO
cj8IwQVmOdzkRFLx+URGWzDJgXctVk4QF53aWaGWYNVVhDdra4ZXQ7rwJzDLYFRSoEDHFq76xHnA
TcNq3er6hfM0XkMTl6JOcE4F9p+MuRNcxp2jE8BGc53zfp25Y9y79suY7KHMcIdR2vCC8PnMT6Ws
dfK09HNze9nApwurbYeg8SfyNdxzUOUIQkq74M+56APy3NAjB44MISL7ZfCakU+Q+cxTw4UOpgsX
xXvOkukUApc9wuWUL8rhmvdzo2AIkqxbn/sw9NzTPHJEOitveM6JZsBKI/miCqAjL5HAYnoV1wpr
hMN4OSFxMcNkLFjBj65EXAE3rDsVaWTmnJKjGWI41xSFNxc4kZx8rV3PVFTokDt8rtBgtONivwB8
0ui4O7AtbPpqrhe7Z9hVG72IpiNnA2LmRKkRrpSlzevJyiaO9lNorhwoBfVy5WYdf7yMo/6TdXh6
TBOPq9vIPFCFha9wG+zs2m3G7jQyIoXRbK55V7r8kBh4z1AKzPU/Kh8bTDqFr2xqFO9TmGNvQhgy
PE545mY05D3nW9cPwY5+xVyPoRFRNG0QvrKK4Iv87UjLejstd43SXErweLvxnAV9a6HKcHW3b+jl
H1yfu6socojfo+bjZcR+uNxx8KDdV81GGeNR63XJ4XKy1jXTMwTgQftqp1jVXzW49fyrR7RxuiU1
lBdqTzo9ukYJExY63GdjWz7aySi3qP4/q2QOz13TmIcBknEezhjcGp4Gq32nV4+DrKB+GLcBLbC9
mRM8Wcm9XJLlxPHjlHpnxyMlBNPrivLcr9fwmjQ71sxSRTOLuz4Ni8c1K37JREq3vkWADVO/ZBxZ
DfRKV/AFzYBxnDlruSex53LE1BtLS0KoHRb+n3VVvtax3V2F0TwKOMmBRmFGPu2LRHMG25JPtzdC
NLb5DbygMXiwgbNG3LtI1rqWdgYS13DnGUEbbtUYNh4it1S16N2Qrn1ryY23ZN3e9EYU1w0KWDku
KSjVvy0dBvYPfQK6GsJvV0YPwiwownD4WpGljeYGoRXDk4fGnTYZm43osuNY/KKxeE7U+PLOtl2X
nKqEwTquT2/miFHuGtEw4vDlCvmrp9vD/eVm26aW5ckmV43Ad7eBbuXmrCcBv2I+xv8oRpziHvhD
8DZKLwDaqwa7++JDxoBHbqUdnPiROHYwPOH14LjrfTAP6qrPQh5zKZkQ6Wyhgiu1/cW1J0wPaJvv
0zUPrpSMuHrJGsIQGdT7OMgaWqlmlpssV+M1cBFxC0xbOJve8uaPwq2zL+y3v7gZhBQ4vr372Oaw
zKyh1+iHoN4eAvQMv/ZLF/5MfA1ROBo5/cpFtm9BO+0CGlWwTVl4EmbLt8wDFKCgmQEAulm+GZ0+
uw26JAP5CgriMxuC6rCOGnh9kYp9nOovoUE25lgCjyrS31Aemh2O+hm9+sJWdql2NmCXg5Oj7ACa
0j32aB0ofyp/783l/D0b5YsFZxGFQN/fBmkCw3qFKFursTzU8FKOUTghUQtT6ORt/9KGI2qSzqcy
2vdlW5OvEnFEAVDZQohs9jF1wxWRU/aVRPB48sK6P+fh6N7UDgYSPrSKcURLY4ggE7d4G+wtgEOw
D3wL5l2ZP7gtyR9Undaa2/c8BBZKPtABALn9cwHt5zGGZ+JUTnWSVt8dA/OEcBbQd3MMJQ7zLtr5
dLHe+wgLZdZ04e2aGb0QfDvckeIJbDtbaPaqX+QsrRuCeAvoQIHi51ge+j8PxAZSl0i5Xg1z1aJl
H+q3zIjOUdaVJBJnpcxfZBcFENUd605gTd3y5FX4bdwD3OzlkNV5edZs2z6svHwje4QRiQ0Dis68
69ncc9mgitACVtYwHkWUJ1svyNHYFGm8W3FZAIdMhvNUeZ9NErt7iTt1azeiMKeVfV6yzvmIOtz8
u6ju5zcq4j3VdUclmIpqt+Qi3w8t7oSo5UTh5O/KfVrbTDRSqU6in50jSLZl18sFlB2SOH2TjJay
N40zZiFZYH7Q8dkNnniCg1XY2C2KbjGx14wqntLInk1+Q+kWJ7X2U/zJ4R8fUFu0uzWwGxhCE2Sg
OInWDie0Ex0HPyG0AYO9fwowLL5aeS8DHnuR9Bk72cmuawY6kKTdIx+pb6FCp7vUGfQrHKPivOL3
Rd645Id1HVZmM4L/m6n04MtCfNHxHHCJO2XtWlepZwo/DtKSAGowsfFN3JZ3jI/6rwYheF12wa2f
I5Xh4RU9l6gE38DN+d0GQFY0XOVtuwAX85tRnMucmd+V1dqrBD3oEJtM7vjY6n1mW1ROUHOc6D4a
Qk01a/SXs5fWwXvUFhzqUZbpZuH4XrBaMujuVueoUCKu3lYWEDvJVLEEeVaxJ0ZynWCGtwfD6fSh
egVOfGBG5pXXrej49Rz3MqZ3r0SlOHUy7PbeSA2adAnVVqV7ChF/gncNVLwplithrzOCJ8Sr1KLF
tmwxheNkpD77Q8f/T7bGzo96aqyzrI29EN0+E72/RFKqSeBVIqLh1PgxD8yY2ZCxraEKUzOHtNNX
zw38FBecPk9RjMZ1n19NrpyeRnfCvZ5MOnwVgindxr08pu2Bqvqy5YvdlWoijdELFhFmIxSutJ5V
KIpuR04czVuuuhmcCnOKz99q5LTU89OIRJTPZGlmlBtGqMdAfn4wj5WPtMJNUCGcyMljUQ0F2b//
OORf1i+2r9i7+ATKMtEIf9yiJ7bFMnlS1tFJPL4SWa9VchWMpvKqZl4912F4A/9xsp4ruRqJd5nw
shb8/88zCs7qOXYwk2+9FQEAMmf+Jx8W/0RUu8TgWKlwHWk2wxpyznwz6jFOT3VMQ75NQWbF+xi6
12ldSv52T6IT2fn5MoHqoj75/Pdv9q/ODdsDzuCZTbYQuMOMs+MPc5MpjFPLsYICnOHEWiVc5rEH
B0vUHEij0OMtI0rc+3PffgBuW57agQlDm9CBg+3unsqq/ZuP/y/qfnM1CsdF3e8qMM2XV/yHV2R5
rbWOPO3ZmRhku2/589PAIOm1ZzDDh2CZphW5Tv/psqA/NxNdQaWhuh5tXFrAh/vGdE60I//+o/qL
5gFMPfMvyZxJKqZNP+zZR9S/aTOk2SmqYf/sypqV1NfVXcf+zV1W1OluGVK015VXsIWAyPl3i/d/
8l0htrBBqbgK0YUjjfzjD5+MTny7XuUQn7w5JHcsqvoYTX1oR/LOxmEV05NFzREJc4LQr4nWirFt
H93F1WC/BGK079wajebfnB7/5GNhX+p4gu7WdxEu/flFVc4YMY1341Nl0SFhs0VbPqfQdGlcogIW
gqRBGEHrJztriv9OCsJq9Qc1Bp+HExCIFbCO58P5YVdaEdWLP3blM1kKJgaZ3S64sfs2KDO+kGTx
QHo6OnBechVZZ9t0qZWLxxzUQNvIe9dfmElvRD4QqjKYQVPTxlVGzohHq1851COXq+i/k+i/m0Rz
2/Dd/OtJ9D2W3j+t7H/7gd+BNuInj29aCPbynpkWM5r+v/lzYCsiqrkpsHm4hjv/O1ze/omJsOTq
sJXPvxgy/+/8OfiJabHgjEe+xI8THP4D1+bfcW7sHzUxmHRslAEeZiU2yEzB/3wXoC2PIbt4iBbB
o0ZEra85GA9yEzyTyOAsHisi9uPAReh50O8Sg8lS5j3sxfzFqxgMu37WfxVIf7/GM7uoP3yS/+QJ
/+M9yquTgrfPC2Ss7/94pIasAyNbh+45m9z6wwNE89CKpDKoak7YNi2WY9gIGFSkIrl/cz5wMP1w
i2I8RczgUmMIFfiX/cAfjy0sfozGx7Q9R3H0VrYR8wc9puFtHrI12vmNp25wFVZA5xdfXc9uCHOe
+fC3ea3WTzXCoNw16+JcxQVI19wfC+C+3ZjviXbzH1USkAcKF8MjGqYcbuzGaQ6uaGCnwv3cICoM
7a079eV9IhfRbJU92VsRUB2iClBqN47Eim6CMbHajTP4M4WGL99jhk+wsDIgXX2Ad6J31z0rlPGJ
XWBFJ+VWDNUGJ8gPcQtkbhtGCc196hqlbWehDVQvI4gB4gbXlqeV8psKvCQno5WYirOrnem0UP9s
c2t1Nhmdw4JQTk+A9iNw3U0CSqaU8/JWgSLwNlZPrIqns2jnd8vwNUDE329SwR5yI+zEoEQgJ1PZ
5ssBubx/nENW65YrNTEhvmyfTJv3KHpAh7ssbgXcQ2I84aKLbhcwLtnr0enSw+TMODywkvtPc4QF
bYNR2y9QtSbDiz3WCSAspcezIeaAMZPV8DSzaE5IhtHkQKa+LQ6MraKAyM2BMfzG85n/7N14NXzJ
jkFHHKeS8Deq9w2jOGijDcC+kzdJCZEB5/xGe96bypZgDyGhesirbj6wwZHU9B6VomsCEjCJz/ZB
ZOC9u4Gt8sLQ7sgYNP5sEzkdcpGilZ6mHXdqCMFVlU+rXCaEKPWYXa0ZcZeBN6iPRA3NCfT7ug+L
ZjgtaUcELbBHMrmwqVC9M8Ai2nYi2/GIVsO+jqwA8kBgR68k2tFF6MQ44ZWX/OJqMd3bUHC9TVoh
j6e0NDzLtSVozSOJD8YGa4zNMq2es/EV/Ood995zEluZcwfWb/TIyIxKXz+DhU5nHE2K8MQteZQo
ULI5quxN0Az5Z5VRCRMM3WX4hmr9yTgUf86UJyVL2KZqmGb0LaE0H1Na4G0IK4rO+76Hq7WOq3Mu
hJNNb/6Me/5m8WT9sVoOzIcoHOeOu6K1hu9VNGYYBsOBtDYfGUK6H6AzWvs6Coj+WewKGZ9Qg70f
J571z4uD7feENgEHnRUZj1dddWW868Ykbr6ZFEh2YFaFBIWlQcUcR+dkNTEI4lEwVDddgrVw1zLE
+uhrCjlTvXGpz6I+M3fPn2zFoRnPzOeA16XVPeGMME3GugUcKEP+ts68tyVBmdRFq62ZwfSRaUbc
/uuQ+pmLznfi1c+xWk9tjWonrTVSxcir3/Uk6VtCb2LUQBqNE+wRJBgZvZjHnwUQRwEFufOAIUXM
+7eNbOoPhrok8DBXZK9ujvKQd85kh5nLHi085yj6x+luTuX6WiAsBmCRa4fkDUyQYBgJD3Vde/nw
CGgTzVUAZpV/EfoculxHULTcbFPbq57eqhiGMiYyy6s+xmUouXS6FcF6t/p3bW/ziulRa+ugR4rR
jWt1BA0EsrhnBzTNBjQJvLa3s5kxSUyBU5P0tSGOqLjvvIKoB/aLWC+IpZjOIEMGySYJsPBNacGe
4EhcNddu2bAdBaw2ke3QAY5cHS8ad1XfqW/MAwCp8uHk4bYgJ5F03sBfxIbZTtBtklbp99q2apJ9
lxCuj48lKkJPCy8CO3iu+/rn3h6+IObyyfUJM8+IYvTj6BeYMCzg3dMxYPTrbuwghR8l6xB1i5dF
Bxt5y23imCxfy1qqmwQk8ItkzOqzuhq9795UwV2aQBMeap3vM1lb67awvfnGxZZ1TZ5UAo9w7Yy4
k0HE3AaNtw9wBlw7VgFFihGR2nABoZ/gOYNF0QmXnRtCL4YLVyq59b2edAwWszA6l0FVy7HSzsLp
N/lZt+McJ5ox9tzDHHHg96XTf/1v4XjBKv5N4YgNXVDP/OvC8esv/fA//9TV/ttP/q5gUD8pnOem
FrSpgi5lyO8VpPzJZ9lHGq19qR8l1d3vFaT4yYesT+GiQNkEDAb+r4JUP6HQ9Oma/VC4Emz6f1JB
+sGPJSTVK2UoPSa1LD3NpdP5Q3cXLy6uzixOzn3JdLoOKh4X5Gb114TFuNCmjX85Z+3/hJQar2+M
jCidwVAbw0uedBZ2LFKBeCqG3TMPKouFbRG+psypj0yN4o1z8dBggmsP48VZMxuTDZm4Cv5+NkbG
X+LiwwmxzaNdzD1/N4VLTsYYlp02cq8qBn7ULkvcId0K4i921TMSm7wu2oZ+xvRNv9oXL5Ab9dAT
h2nd8pYwp06W2A3GPRQbH9FwsRTNxl00RBZGo9WK2ieP5R8GaVRXu04oPEm19ZhGTdbvINfqU4dz
7nbVS7WZe/xMq3E2ZcbjFDWLc8CEmjxwogMNC1fzzrHe9ntZ+swejVsKzCX+pwTF1HOceN5BOviq
sp7fZklmX4d2+qXGkLaJA3xYgbsw58eqY7Wi3sUcttzPqTs857hJH6Lahmh2MXZxsGLyQnPF2KsI
rJX4lyjcBOze99I4w3ycfztecw53FlObWxM8IS2ShqLZ+TrmJJTb2MyU8ZvZY3IfI0AfdhSpbrFT
U4K+EPYz4aXx6t4MGLhYClX+sAnYMG6icjiFrM6+uP2CHahJV3tvAezmcbQ4+NR6BLyh9sabNZCn
IRPvqfHPjcZJl0fDa1QRDcrz+cuSLyBnAPx963S2XNkJ5iD0fsnOy0mPsQdvB50mfiI/1Klw7NTF
LSP69g7SIca+EF2q2qB28+/jsfcfcseKYD6q6T3qIvm4tIQoe7E/30A7+WW42AeR1flQy9KYOKys
v5pDBoKZzwogwHlYGA9iYWMkHCsk9rYzvMUQD7HRq/ycXOyL+mJlnC+2xg6w1Teh2/FXUqnsR0yb
ZHvGrfOc+2QS8vQc8S+BUgNNXPKR6absbpkSf9NoH+7gF1p7qcUvblV+U1rX/RacdHuejA+zMI5M
9k9QhstuCUgeTcaX1YLsmE1RsffbCEPnejF3iovRk7StqkARrfU3zP21QEY9ps2+t9p+3uTGLbry
Le89xUIorfpJPE7GV5obh2nTArsgt2UBKIkBFR3w+9qH70h1Nx2uB+AUoqSa89OGvEdyFrojdCYc
isbWysb1hZHPL0KOANAzY37tjA3WKxiK3ScFpQUSJ9zxiS9PMWfOE38C7YjTJ3cwia6Zq+gz+Wdl
j5DbJbt3jHstb/uLETeIWN5vx655Ly9G3c54djvRHzLj4p2Mn7czzl6qazy+xu07YvvFVZec84sV
WFKWl6eRpIUQF9ySXWNKzPJ92iMR3FDmeZCNnGivnDo5JwQy7NvGyHOVZe1stgVf3a5cPIIPiWtT
1ike+uQIBY25ly+tgxexKwzFog8VMH68hkX+NkNg2JVZq6+DVB3caiBhBj0O7rDezTfsirxHREPE
mvk5bAJNnEIw5e42Q1V8leXOuqsxlBypH9EP22V8C9edyf6YresLZifv7EFcuMW9a7GTxsZaXFOT
xLuy6Jk4pXFNDK/llIesuQYM+iYxlu3qrpfneY3Wvcd/dQ2Au74lSZZ2wIMX1wGBb6XYeYY8ds59
ZM70B+2jE3bOC5o6qnAfpmbiwcfcLvTAxwjrkWK1lOfvwKQR485KX3sueVQcEFA+iF5IUHLPDMbD
7iA9nw33Ot0Va7z8OibM/pJJKTTcMWpdlTYjtWn/3Y38duezXiVtwDcFnRTjOSJAelvjc7pJi/Eb
DxYUxENB6s3awqYys/wVcb/W/rYs0+E7mh2nQE2j+hvSV8PDFNvPMeylk2OV4joVqtl2VZAdC2Vh
TFhRi6EE2tg8YPeVqkkXrazpJLtKnMWibLqSPDn72p33EGXEtT/Q6fLEDg59IyR1nB1ek1dKkoMs
iGhaFxbOMdS4JqREi7r01zFdRrOWC/C+N5y9GACKXejI9tyGdrluMvCnO5h4D50NzLWeySj3uEVv
kyZOge6xjs/Zdm+XNQ93nkztK8Q6ERV3ez2XZbsX69x/YiafSRxuWCPRb90MjoOWanSTc7eGPwfh
UJ5jr/tsw3jcj7n+uSzdcS/she5p5HFjd8k56Pr4NGrwBWUU3BF4/zT0QP+ckmTzYJy8R41uDeZ2
fxcv2dMoeutRJ9nDzOd6Fc0eVDJR3MWKGNzZzyGT0dt5oOun3j94KxZLFx0NSKtpHLYMH5YvzO+Z
eox8rk8tzYFPPzws7F7YItd7vA12t5HpTOeOAmxhsYz8CME0kVSr2CdR2KzPZSpC6w2zxLwArlXB
uku93lAc8kqRnpADvHf3dIj2cmq89Nm7dLvrpfPt88K9m3I4KltQMc5GZmzRGF9AGVguzbMY1/Ye
Gp+VMBfo1q9OM85fiQeZr5RpwAnm6I/tYmm68lLN/hajy3Ql/Fxz9BdQkGe8Y6fFtPR2yYlJRpL/
sZiGH0oRoVAk7zhsUxgIBIjIrkoBU53B1V6pUB/Y5jBAkKN17M1QoV+C9qDJOzs4l5lDCU5wk7cO
H1C+sM9Cfx2/ukvU7FRWIhlv8p6io3TcU3qZa4jVGzcaigZadWLVNFi1xoGcP5bJfpBdYxNZt4xh
sOHJJQ4eW0vyt5YE7HCvRpAoOaqjhdQ0FshBP43ni02ZkBfrbF1GMiISY75hiRLe2x4wVNhya5se
8DegJwrCFdGJM/o7CJ7ivUdcwc4uE9ljkHTtE7oJxkKhD6y1ZtBKHFdEElwg/BOkOkZJbY4uAvhp
p1gSm2lTEYbhLjITqPIyjCJHbXlbGXYd/N47OgOUbKKUzQQLVzIzjzyFYGoGXGyWmHVZaR/vndkq
79zFR5pHBdSyzETGe3bNwCwyozM09xGpX6OZqDWX6VqfD2KbdsPwxuG97h0+pGuUUT+7irXfojxR
bvhG6QaLHCvoJgRztCdWFoxjN8JRHQYshVvXT8p7gJPY/P08GfekKdw2nm4QxjMq1GZoiDSE+WGF
hPmxv0wVSakySUV+t6czd9j7mfljAXDxk6FY8i2k5v7CgEhdR27CzNJsCtHZUJrtiDCLw9tSeMis
FvU2mB5wMd2gb/rCwnSIcvbEuQO7AMo/y/x3B42N3iIMxsyIpplniQxvi2xZfpFWBBGjJeGR8zS9
SrVl7xd0AG/TRJjnFhmZig4sKpNgNwjw4/FQoj2pBucJH7ez93xdIdFSOZmmaXhE0z8iEZmm61VN
mgyMWD/1Kie7r9LYwz0SbmrEFh8LO+aWrrsmPyqt8ck0doPZUk4DkTQzah8wm3vLT4idm4T6lJWc
b8A3rXdBuzbPDRNVb8t5nv2KZrJ/CStRvMUEdcaQFbLwCmYXQcKqIECmidqD4noFHRz7j8466K3G
jnGWxtBg4ThAY+E2+6VSNrW/QN/CBAIdC6RkjuayOmjmxkdk1gCxBZCFBiXYCztA52CJbj80bXaf
xrArM2Oyz9haXXNITOyhIC7UaiLKAl3VrZN3Kfk+WPVzY9pfLv793Fj5a2Pqzy/2/pQapWCtTwGF
+T+5cACInAcJYOAA08Aozr8QAxoDD2CYCUdAG6TAf/v//5/+n31ryEbhX/f/93nxQdn2Z/PCbz/0
j9Y/dH/CasC1B3cpNI5PtjP/aP2R+v0khE8DqKSQmNn5rd/NC8r8DktoFhdmIvA7zA4Enu1Bv/N5
Zebn/qPFEXrKP29H4OQ5KpSsj3gFiOjZQ/1pqdtNeVDNvt1euYM17xwS2gZELgcHkcijxx6gPnth
bAFUhYzg7fPOH8nvGzzidll5MRLA7t6guCtLMsePFiEA3ctI43kdEACZPQyAPr/hIVLv3upXV4kd
k2yrM7kLLXbVyKDT8koysjpQQEy7YcoqqHCthVshaWpmvmOzHsvFJo0GE2G8JpL4SPSv4fuULuTO
BYJ2AmHEwrmkZ4SKi/QUii/6WiZwg7t3/KmqtpiqA+bSg5W8jZg0SrjgoEMOTQ987gZpUjLEB4t7
zDUmtpTyldTdwNF3kJ79QB0COHrNHY4k3m4yM4XE0rRkbnSCOQqEZ09alrBKfIGuFxSbVkZkBO3y
ER3lXSBJcdCbqODz5DG1lCMin8gLBaTXaaLStJPIFt81xCRwsHmSelSaqIo89E5VVhO6V44kkC0b
f6QF3lSBhEo1A1JGW50EK+DuHVBjd91SvccopXCPyUTBHckgymefyOmW3su3A9hlD2NnnbobJUFL
HWU+R90d3lLrLIioexAZxBSYvWQtTC7ncp9U58SypmPsNfKZWoa6gPiadTPZlX60C0B9ftgsH6qh
pQISBKUoXxJMlag3p6DMb+DHQKrq3ZL0NYRpeTUBHm+r2odVUoznYJq3pDnkh7KEAoKNIr5nREaq
ZFLMO9+N8507MIDKYMYACSPtoCt1+TWqrKHZ5BFhSqs1NfdF5n8hxyh+dJATPpBYpB4LiPbvCd5G
oPM2WNUmmR+5Hmo0v3XKZHyOHgpZL19zDMtyq0diUyOUmjuyg9RdGObRa9LMzmlOfOveQk0wbJAe
0lCozrmJoCgeLawU685WXb68okeGWQyW7Uvr29UzuvTc3iArihFOZq0zbxHgqnlbo884Vx3jQXLt
iWYcgYefNQu6oy7y+NVpauc6XBXKKpvy4AUFRk810xASvRvzrvjV1i6LMEet6FDRBVd7Qn3WDcw9
74F9rjp32nvJWgXQZwQq4zqzurExV8TMydeCpI5unO5xschre4Za4bp0boYi52Al7LtHNnbVa0eU
z3GKVPOzlslXu+2m7VAEwRXfNEiwhiDDhZbpdsWf8wjjI7kiBKx7ifGpvo3oscma07P8ntWduLbW
ilF+2zrqShdzeHCz5pcpbKOT7fFwTWb0Djl5R89hHoxvpBUUXxcWLF8dPaTe1muD/GtrVSEJXdxh
vjV0R3RDck/e3HBIG/9a10QnYd4ujkgXl/sqrLwrPRPlhVwLT8eGn7XubYyz5DKubFBZC6cPVZTN
Vwh12TXVce5wFaPpSrxgpnMerH4HTmTZ13pstjrC6srnMmwUT1mSYMW28Xp9VYuw2rFIl6+uspx7
JmJf0rV7zhpLfQL2ooIR4SSQhGmooVvZrNmL6jL3usQHcSMGRiFs2KOdSuNz6PbqdtFdy60x9s8r
+RDQLUX93R8FuWB6rR8c+JU/t6iKWsj+xOWGpW6u4yx2v8QJgbZ+i8nRpKKQU7WG8a0r7fF9IE2q
qpFj470iqi+3bUCMc3fFKCj+6J0k/aUgRHbbT+0N8xptarR5R7vuvEk2e3TKCiXlrPVyI2cTpUH4
FduKQVrccW4i7sA2WoeO7QqaSQjxj/DcTOTrYKOtM3LzqU9xxGACEvT5pc7mk0yG+anWRoGWx9p5
noYo+DnXJTq8MR0xAgRGP08Fvjy5VoSSFpXqx4hPDBAhjl/2HMbNNho/UGxXBDux7qV10dDYL2xJ
YHT9nUKqu2yo3ZHOO4hLGZYmZ9z9qGubBYebZcv6Dt4URmpiObaDmL8TRlo92dpfzrEVgTtNegSU
WdTj0W8gx7XufGMNxh0eNMF3t+68X2vL/UybVt7YauqhKLUs7Ysw27eIxLjJrfxWA226DZ08v0kE
ocYs1b8nQrb4YFjhwPD4UovumUQrsQ3ovQHEs0FMcbofUvYFAL/W8LG1u5rqVibO1sVLf4otslrz
KSbqLI12XdXZX0kUco8ZbfaB+/17tlbBUyv/H3tntl0pkibdJyIX83B7gDNplkLjDUshhZjBAQcc
nr43quHPzP47u6qv66pWRVXEmcBxt89s2zCHGYOiH6lHZtjIenGei7KO+z5xqisKWpgMDQ2Ar0ZP
j9pMcfbOrWmwsHHR33Hl1lGjB/Ntjgfys1PYSUE1GBXbHhhXqYvwzjtcInMWpAMdwbS4Kp36tk40
elPNpT0ZjeQIjpMk4iSfX2q0ltAT1LQHOaoxsqHjvZpw3KPKb4GAeeWbHIyfRQcXBXV4vaSjOx13
7jBnt7bf1btmaAGo1wjQi6WGL8OaynhE0HwodNeJJ5tcR5tyTrNJUERWryUP+WQMGwNSHubA6ngX
eX8zpYVl0O4SQBa0zRrff59ppxnbfU7XrdNQxI7Q/Qb6cNynRKM/a9/jhLPSDcOy95b51a+eSoGT
xVyS+EJZRkREPB7dXrBbHMc9TrlELMJeGZG5NPckmozLVWjFR1D4Dmtnph2gH2jk1ZPqrpAVvRVU
NO2FLLrTyIYkHoF9HS27HfaeYuelzZQalGY2XeR1SxyvUliypYEYqePsDpVAO7e8ofmQzpxT9048
Y0wpvF0y9zgD9gtz52q1Z3Fs7JqzuQjMfWs4H50u7sbRZ+uQU2FoF+uBJZr5jaW9GDklnVnm5nsw
quwwKo45pd5ee6K/87am4aE7rHM97vS6nDfPwL2vSeAJ7Zrum17Qgg3lZOfmDSmuLDsPa5XuE7u6
smpNuw8GSmEqdwyOVMigI1j1HRn4W4zb2V7W9ECvMFpDt1qAgYwGEMKyQvug5EWuools1ExK4Ebj
0EyAx1LNs240ahmRkzXvh7TN/Eh7HaERx/gFFR/KwlLUuxxPPQoSB7MJGzzPA2u8m00j+MjrBT+4
xuVH18XRVVMDl5/2zkDSNDQ5I46cQIwnBU/oWDSptkvz1T/XcrmrcufNTrzH/5yl/qWzFCeZvzxL
3f5qmmGhVOVPgHCU4u0v/mOUav/mBsSs0Rm9jVHj/86Mt/n0AnRbcj6b326zmv1jlGr+xh+5Ph6+
vx/D/t+ZKvgNDzKnKcM3LIKdnML+DTOe6W6mz9+HwX1vI/vQGWPaDFPBhP3xTFWhvKy10Jej4zXl
EqGI4Hxyqtm6RpVvgy2KCOQS4bqvUbXdLtiZQ9+fWNHwMK0ds7AQhBXlwd0gKyfKQJBpO7gXI+aY
D8FT9Gbe8A8cjPQINKFivlP78CEgytFoZSwwBt3KZCtkMauNvXUhoMQznl0UyYj1sD0R2fAt/XnZ
YBQMhXXujnV9TEyNcJdN7DvuvwkWnHu7B0LHcC30b8aFoTbcxTf5ovymYLTfRAyWmzKqR8XoLGug
oK75Lyg66ce8AtNQ/J0XZ2mLkVMfsI3sm7thfDM48IWD+hw3NEe7QTrwFVcX0wbuyNtMXk0zMA9j
w3okOkvLrpXAPrCfQeuDHz3xXAMGojYsCNA1knWcQtkriQQ2xAYQ8Xu+ZkPziMzAo9C3GizaRTbo
iLnhR8yAbx4R0DjTx1Lfyg1Tgm5X31Hy1t4WG8Qk++aZsK9rzpyfGdpuuJNyzqigwvKIru3XV2hE
qR4vHhMdCHxs/MLG0Z8x98nLEZbK4KTywRiofD1gg4S1YpIQBnK4IViafrSeGB2Z+wLt8UDesoDV
QgfPFVbpPFosnQNgS3Wh40zDvee2fhG7buKcLW3WvwbNbWK7Nu696bZm5hwNs03rVqrf2mj8LSqo
aV2zRRpft9PAI8lPdTMNhRMGtRtrgy9Dpy41/Ct0XViNqs74ypPLQBTNncOO9aq0zeeco0dEcKSM
oIgstOekycMyOl3sak59nHW6PFoDimhZFPcosZBkqeSIErLQJ4w+8KDwNtX2zA5lZJqdrC1+omBq
k2NBncdmBCi/GNx/GEmg7VubmDjsosq45yJn6q1UdxpWo96RlIWjDFI4KrGlR27j3LVcbSFVkhct
0u2u9juX2e/wskJJoBydfusM3+3OWRgBzkPmIO6m5NJGIz9XxOBfcJKnJ0FDy70DkvJqIZ5y9oiO
RoWWLXFvqImwZ09gf+q4brhsZwjizD0Fhq/d2GR5VOg2x3Ocpfh48PncL7N0dlOaU/p0cO2afoBH
P6lUTiGUMW92RGO13TEq5izN/PsZgqsrwkWjg/nBNEtnfkBi1h175xD6M54Mm2sBvnGRX7gYEu6I
hCbZs7JX9P4RTwEFK0GL6asiyM3rT/l14C8mJl8BGKWilnwK+8QC32Abrea8qMBqitPcbgH5CmWA
T0Oi2G4OPVmv6WHKc3sGsPVtBky/nYEMS6fitSwh9jbR+rcBS7YNWxZBsW40fc9guMzS9LU28nRr
QDfor6FRquby/J7cqGU1GOMY3zMdf17oWKyKxvfjrrZkmR4X6duvEF5n+eGVAb2Lr3xHAR6PapTt
GY+exXm3SUpp8R9uUp4KhrZIUZk+yuRHU47uEuod/urQlD1HeOLTKv7Pk/pfeVJbRBnQHP9n1fPH
L/U+/N4v//e/8Q/J0/rN0Te2Cv0ynud90+r+KXm6eJpM0Ksb62x7fP/zEW25v9mBy/9ElsPePE1E
o/4ue5rOb4Q8KASB8+J7foDL/t94RBu47P/4jIZO4pChCVC7jE1lNakL+b0rnCm6NnVtq59mDL7P
kwZjeaiWD5+RLhXSGkKFxphM1W15783+Fake3KtT0T3gDHogTzecxwVOWedTPGW3o3ZaEstNDlNb
ZLdj02nvo+e1zLlalHvbTzyECIfKqNuGUKd1Z9t5adZoFZXhnRh8+uY1BCy9fRwI2FLxp5Vrax1o
qWJtQggiP82Qc6ZWfYdOKmsKMhLwcaQYU8xKSAZ93z1WPglwAnNAA4xzFijX/NYiZexlOpVf2DFM
cZY23aYkkOF/6/qOwTMUh7wuVuPMGBxtAzZxh3LSGi2HGJvqkQOMwMU58TyhvZvxY05TdbJoGrep
4ZVTF2XEot4BvfqfKfM1oDfmQFor7ilPn0ghEsDUITeBSo0kb2E4lKo1L+D1rANJ1yC7SAoDbXeW
2G33E8bqKV6p//Mjvy1oiwPeqijxqXdVY8ljoSk/nnXfeV0mlkoCjtkxH/KHlAk4P9ZYXEH4bo+F
OT8VLfpjgda8w/+RHss5xcLdgRZ+ZoIGiGKhtdDz1VVr9xcZMuDzkNZNiPBzazFNIfs3BQC4UvdD
qmRmqDfjeHAGAAZBWCrrlKrySU2SdtLAKM4+RdNp3vaxRZXVw8rQbgcIhN5uvlLgFy1+CDEfBo99
g282B+T4+2nNn9ikfQFGkhfr0M67oKTWFgcrkq98ZQB0rqe2OZYSlzIhyEitlLYPrL4XQuhw3Lr1
NktBxZVm+bRheKKx11oGSdMvjmQu3Lc1uZ0D9FZO5kyHR9IIgwVpHSTzwZ7sb2fGjclWLpomxNgU
qQW/HDbVZKz6K1/OZuyB+T2hpuf7Rq301GtpFq5km34i3kyHenLyn37WIaz1yxKLztHuU6anCNfp
L+zj7Y2jyQdH5uqhwc1x0AXP/iYX+bEpN8ZQTgsvFm5mbRD19hKm8Il1Idv3RFP3ae3AYc+04DC5
86/WIQQN6ZUdBGvHjp0wlReJyn+2HKDDyaG2gOwU7RTbVJ1gXI1XTW6eCg0yuD5VMbugfOeb6ofh
NPqur8onkDenFQLfrh5Et3Ok9kyPpE7lqCrOWedg8hZ2/rVhMN/G1QsLQxLbn/HxoJ+5No2WenlZ
T+V44bqSO37s/Y7pyaoxenQBW05wqZxdi3sEQ3oxYRFZaqUdzVIf7xcAEt5DZZfilqKuml5cPCPX
wjfdvdXmfpx45CtCoxqLHwNOSSQrg2IC6OvmuRnTnr4XS/JqXFhIqRR9foxVR2tGMk23xVxSaTpx
WaTBVOHcV2r57ASLapzi9Dvj2SbrLmcqCw+SS0ttdDhdhR3vdkuczPLLAJeDoQm23N5V45h9LcUA
zMefg44MhE4R87XpOwODfa4Wc5dRhLM3Jlw2WRPUBwYnAjVKwyFmct7uyvnkLYV7APHCKqHAFrZ6
ynndmkboUCsgIdFZMWon9aFpAkTFX18U/tQn7EE05xbaO7fUs7nmGHCqso3rTp6l1tnXhU6vLOC6
Arpf/km9bx/lpsif6r5AcGM6m1+Z/YINsiZ9ELGJNG67OnlEOC05+IN1vhR21Z6NgFmXZ02XEzLp
vW0F2kOJPPtu1k4epWXQYbQLoJeOKUWUEAhNM05ApuzpnqedNaESWiZyiFIp5XVFRUPMv0NCR9OX
Q7/dtYjYLhAEwBlJB9EFanV28KrpltFSHufLQFGInpm0kaJEdP5KlD1xmzuc3a9U/ThHe6qDj94c
7jxlo2gMJb4Gy5cv7rfeATYlNq3pZFeGz8DJsMiZGEJ+Jeyk40KT2gVb9Qw3KQpLo69AhrYh+pL6
m1BjsB74y3WO+HWzavp0teQBDNNl9KK8QWpRQ8Gt5ZnYFmwzxcNrq50+m34YFMW4E0Z/WDSsuL4l
r4KRVWu1cPcwaeRKhHVwkqVNvfYMhjQ15vvRxyNQ0jcU0/BX7vhswbFT6qAtHbQUSsAxgyidoFIA
P32TunTSIeG4yV+UVLIr/9bEAt9kqp8XQYRRY4k6WtyjQXYnjpWMATXxpTrvsc69Nl4DdD19ECCu
Fqj+mm23cdaobE8jhjprZfe5oQArzCPMREDArzNR48r0mhuTnQkCOD9soy/Fft5kvnUT/LRN+usE
wSxGisA+U06VFBrR21kWFLtQCXPjdO7bukmIzSYmZqV8M9uyvHAELQAGVWE76qoWVOnCuOQaGPC+
oEXOZflF/iDYK7G+pWIjYH6rlsVCVzJ238QkE8bSj5nqZy2AN+iV7G+T0kzCbBM+Z9ufeLhz3Hf1
lPCD80XlwS9b5tW+ctgwTMp+rsnEhHU5dE+Vzz+19oz4sDfJrx6kEE7kgnEbiyhFCaiwgOWKu8Bs
xUn/1mdLydeAbDvWiR6xmLas2vn07JPGD21pbZ3RzO1SQA6F8lnX3bz6STrLJEGGOjzatbsvKE8P
0e6a/VCs9aVpmJivl9UOJ2v5OWS4mybUmd0c8B5mWCyxDlDzadDNFVfv0PKFrmggu8wbFeDJUvD2
J1kWr9z2pbySc+P/6DyHv4sl+4Hc3cmFfRdqVZDejUM13zoyKV69wn1wXHeG6J9e22Y7HC3a2fC+
ZoWIiV7wRWd5Zj8GTjmHyiG2wgEltlf8nggxHu0j4wRBad20/xyokBGmrfnpNKpxooXfeZPN25vJ
WOURgx5tsMrx3+Zy0F+J9XwUIpE3K/2bRTxBIT0WQlo3Tu1OsbEWFJaSGZQTmudCOw5dhbsEn7gS
en0P8si5B/8w6CGrpsYWwxRm6NhD9TX0Fg5DblT6LFb40JvlsHcPQhgOtwxubRD1Q7BSskYsM1pS
60FgTKRuTL/0fb14GUgW/GzS7lzNEDaigu64sEutzwpn1UPj5uYHYzIGzhxcMWcCVFAn8T2TyssM
NUc5i/rQt+kVXc7MsbaJVrLNtjhg003duLfM/C9wjEovmngcqKOhrQWXszt5nwnGwTAzB+8mkE7+
7IjevjJoKo4Y9Faxk1siFC0NulFP40bcSqu97y0bv8zCV3EN4g5Gkp5gmidJNyIw976sI5oXmAhu
s8GUHup9ss0MCd+aseB9HWTvagcQ8El96Lwqf2Y1K595xI0vFejXh7KQyVGHBnLSnZkdb9K5566Z
INTk2pDg+nLn6ik182K5mLSlxuqfwVCCPIdmoZP5oUUzOJvb5DSrFYXhym5ExFge5qvOmFWuSj7r
mP8+HTFPR39o0S6KQt7YadY/tpZDeZ43UG0WWWgZZb01xbG7Wp9obalpoHCYQjJwZYUNOSeNQbQG
wtqs/2KZYox8srwgYkIRAqqD+zgn/uq+pEDQOKv7iierP9oBN2LPRBtSBllQu7Tda9cqs9fJmxEY
ofQ8VFQYGhHDf+2qalT+muBK34OnIQFSr6o6MbnWI0yNqb+z7VLzSRoxltcThXuc/+sRe6o693Xw
gMFt6xzoxp/NNuDHll/sXbmmF/23BeDbDSDrqf6BtzjbWbpnHubNNlBsBoKlllkEBLMKhbZW8L17
4eznzXhQ2U7fR86a1LtiyktIlgag4mbFimwWVFV7Kr01BcD/e98r+vZGpZlyooBMc+eWoY9lhc0C
9UobTQxSi0m+5ZPtZu7TiVN63Ww/wOZxS2Bo49L6Xj+gU2V1sCOdMK0XlbK10B0KI8YQ0vTkKjLW
UeUzoG2xghxl5jrPIPHqkdxFCpoOOVAYPxGlk0jXiiS9zKcppydn0fsixvM5R645TiIsYU+x+si+
vcSlIo4jmtG96iBn1SQjD6tDqdkkF+3czb049VyT0Sit/JLugTxMzNH7qvvW/tAbONfEDjGNHlQt
fgxlkOSvxH3GsCYPCV6JnjB/oKgtcgff/wWCLD26Y73Z3WSmhV3ee0+IQ3qcUxFrx2iz5Z6ytfVd
Z2N9MS/C2VWcj1tP6IeWf/a8mp28E/RQvGTKru/n2XDOdMvOoVnbInIyA+HLyGorTksm6kh17A66
LZNYEoPu+6K9tu2ujnBP2Y8UvNPioRQ09cYoqE3BvloPzOWV2dOEXnknTTRT1HJwv5dpHuz7Ujff
HVvRKl72YpeUTMsrEI9Yy9vskKfkAvoWZqqV1y4/75DNPymymQ7Mzm8slQWfesOgkHeChUg3Q2Ga
y7GDcMVWakwv6VLx1Y5q2znmuun21P04cbcQUIc0UWEeL3IsnwmW2qDiMZ4orXzD5w9sM/Dqo5Yn
FjM9niTNjIN5R9yeNmxdW5jBWda+TWwmnYGn3UhrXe7FnB1HBVlbQZMgx9dYZJzoi4urJct+CeHa
V0mS5yy0XQr/g1RzObDwU6odLlSghES9mfeWcuKhMy93mdSD60ml5BAbQEmlmzsxgCMWzKFFWNON
W98n3TgMg2pDuknfB68p8A4ssmRj1/nXpdb1YGVgPxlVYu8K5NdX7DTejqg1lJg6z+pXTQyveDww
7U/+wXaUoUNsnD51xYPVz/X1tADE5ftDI2TGRnO0gvKKS8hCffBSgvdr9U4VQhZP/Fpg19QLlvyL
LPWjZe1IG1cvQzFt1xvCcTxKELI7ZVkxAx6ThEyQnIucZtMSQw+FQbobsmeGFq01qqjiHp/DmNqq
u2QU33C1DN7B0EsPlKidX1ZpWt6iP+h6NNq4xuIJ+MD1INlvw7o0o26Tf5Q/iBOtQxWAf0r90sLX
f80NRzQ616djbUt44VpH/Zj0UARET9u8kmevJhOrk78/o2tFWbaIky/cjgewVp4xf093a5mlkAa7
n5zX2IotTU7Ocy3qUzOKqaTuYFiemfCQnJ/mKwsAyBNbqR/0OXWhB0rvInOtOezUysaR3Eoyrx2m
tFHro2Ya3wKju5qNxdpB0HpqNJY8iAv2XrggNGfH8p8zhZoOBbCJsHBMIT4Q58fals7OWUvzolmy
y1xr6DTxhiNlXg+9a3xZrKT7eWF31KSC3HhrvlqZUZ2sqbE/BwwXkZ72FsHk+kmByPgSotbWfdr4
hMVQPdh8KwHcf3Vxvi9Sh+uZFkYkhZ+8TdjIwV1NU49Ascz3HZaVlvl7kiA7yXnGmm4vKO3gKDnj
KObjoxXcNyxYcicsp3W3QJRHvqbPJGkJ7gFXL/uzSSHVvOYQBDD8RvxUwrsqC0fcTK6NSGCgUZOP
L3MicvCTYMj5lTHEo56Ja0DTPnZ3yIywvfwvMzXv7aJl8QBmd4ZRUZ4Xh4cryIGPpBRjd6CmHt6M
O+Krw4vPkE+d19wDJqgbTz2PJDLAONZGc9MCRZOGSzB6O89wp+2eYJeXY/4wyX5AGTRZElzVT/Ox
aMejN3VvRPLOigs+hPyjn8pUu0qCgb1OxfwF/8dZGDg1Z3B8sVe61Vk4yH8M5SmfYauPyUGZYWJ3
l3063YE+/tSJT0QktZyY1sa7zmbQjjDjnRob95KnyezA2QUBca21m9m0n3PYhRdkJEU00xMZppXV
gH4XaZy3tXFU4JGi3hmHUyNTHeWCiki9hDI3J8HdCKD9WCQ4FbJ2eStTA+VMkpTE8w30Tlo/E2cy
Hmbf2arssEKF+BXnX87gTQ+sfbgKXAcqAJz6c98hRulGQcGeBvO39zV0Foot4l4vS3JpzZUtqyFM
VsseIzOfg5FqWaP2doWelWcICKERrC1Qw0W8D0bbvjogWeotML1+YLcAcUiQQ3tv3bq/8fRKOxY8
8HrMdp4iw1H0lx5jsJA5dJFFBFzOvWaTJ6iX5Sf7LG6tVNTveWH4N+1sJVerzMYPLXe/0p6Z2y7I
tOHcIUPfrcqmly73ZpoPc31+9JUz3pqU/63XvfJbaNxe3R5QQWvcVdISm6+L9goGxx70rVxFwqS4
PcyZ5eKCMwnH6Il2beS9wxSUh8ExT6YfS+o8skNwHrokbUGDLPLIfbDEbj9QHhD4T7PvssJnjfmQ
gs4NYere+MaQvNcKQC/wQ5+JmmkS6uWQrl3MJpuaS4pWhl0np+yCPYRU+xSuXtgXuTvCGmX92bmS
soNDmsxqE4kq0IdoYexpauZvDYcbtncz7a10gLT9Uy/s7qLrfB+PWOsFBPeZcx8WuMfhwrrw6raM
qq7n3NF/TPwDbuR340paFdolt3GCaIRADR21WYYraxTjpbcZ6UJdzLh/uibHgyMEKF0EHlAVY8qO
icEcUGe5BWXApYc1q8wrSD7vjfkeGKtyLORR+NCNO011bFp9CoPpuiYZDA5LPTijkIhPeimgai26
zy+hBU+VOQArzLDkRU2apCpCU1vuiQQpyje40eIVZibY3IGDtzJ5RLMFrUU0WeKLcWQTMyK4o+8B
tgFTv7MoXdofxTgfYNB2dyqdzOeiYAcOtWEbf/aOcTt0G3ax6ib/fnB6nqesZe1thQ/2WcMEcLay
Dl1m471f9Ysmn0uh6dd6PVMvIej64fA6WHeD43v3gZZwfOmZuV5oWmb+hFpWnuXgTwwiLcRQZY7c
pW3DsrqrHR9/j0+xY0TUquCmnG2eWOOMKriz+iAtrlH4Jc8TQoPVRWGYtEVKd3b4pWsi4bJPC4Dk
w+2aDiAm3EWYMTNK9UNfvfRMs2VJy022fFWiNl4TY2CjtrpQf1E6+ussCPJ0lxZ59zy6DiWJGk/d
tLV5mHFJRRx2ctpWh+IgtJk4H9LoRZ8o7zTNuozF4JaXgnpXYuueoV+2azs/QnCRQCoUTDBIOHZI
hDphOZHanSg7cQ0i2T/WuNTjYVrFYR6whNO6zlWi9bO88nF2vKDekmYH5fFDZ3932bfdvB8lu3/k
TA+VRsvulwxvgh+kcESZZZAuGuqrUQYf2mQAwDRqfK2ZIyON+ehVMHFrwHTJyHNYJ+DD/i1+fHWa
F2c6u5q3EklNKtzQnDpGdoxkMmVPTWEwXmFNKy/J0P6kpcWIp2TBFegv7+lSZ6FpgytO/AJZ0SBL
GXX98oQjmxbknlISYa5WrHGhH7JJDMAgafCANY5m05bNYpLBX4lwKSNyQRPspNOyl9XX/jWvbLKS
MluPS69cWDXGMN5S040ObIBQjxrHnKp75TAeXzIeNiR7WpKvjI8viV1Fs8P4Bo2VetGlzfZG6a87
uoqvnXLlz3U6Ii213MzQG3fmVD4Fg/lipSzWDH3j3CYgi1LyHjQ4Q4OUgcfMKD2CE61HDeauvWmU
9nG2axwQxf3qAyppbQezw4hrPU3XGxywtPUU3bMYuuIWK8gx0cwjGyt5mKABvWmKMYiJMW4DMuz1
lR2ygut9wIuQ7ZQ/vtdB0d0RwryDwlEtO731ebRTwEzcrdJu6MhbsKmY2amjPPjSnrRPW/PGq9Zs
+l3P+r/LGYMh9AT2i5wJ6KW1upyEUKe+6v4D66BpJ5fL/wbrAAPIoPd/Hls//erxy8g/DK7/9nf+
4S0zfgP7iAmMH/lvDrJ/ZnU8ixiP7en4gwxXN7Ck/XNwbTu/8QemySx0y/Dg8P7n4No24X4wBoes
AYUMA4f37wyuN+fY75xlZkCAJwg83iEvss3I/zi1xugxrsBhnaPvc56us8wnSwzp6Xffyb/Aa/Nd
w+Iz2gHXLMPxjX/y+9l4MsJUsto0OY5FA/6I7CoHWJW0b1vZ0m3tQkuq1m6DTa5A5P76tbff6/cf
kYYXbNqu7mMf4ETJl/3HF88o7FBW6Qd0VQZtyXo1zOh6Bq/r6OU9D5j2PQ1qEaAuMV8Z1iX/pTRo
zOxyXCuqeoNkxAgxX7KtD61O685j2WY3g19se5wqYa699MARWBKuxsFL7mu3mqP/w4fwMBUYRHkc
LqQ/fYN6T3aT3jaGHCvcIWVD96q1mm4EGOOPHdaaMDFK6iy0mp4wQ1cbgn/0I5pfwGXLPFC3LtnG
2xaVhoMgYEsobyvBmhJ0UDCVjHRmKP2UVZO5XCV+gRri7V9/Bi7Z//Y7IGwERMJ8Qmjmn8iWAyDg
cfHmgGSomIGirEATeFActnjlX7/Snxma2y+O3mzh7nB8B0vIH39xTgLDNtgIjpOV6riCqGGQrt+d
e2l1d7pD5cRfv96fbqLvKywAqUN+jppeYvd/fD3TGJqGDAKvl+b9HSvKQHAeLNlfv8r/5/uzqSSy
HA69PsCfP31/Qc9yQVO9f+zNOT/gZvgSVpAfy8H/8dcv9E1+/d2isH0exzQ2ENC2Lvy3RaFI8dnM
XINHc+VcvnqDGWcB18yy8MMttbXJMBn2SIJY5T3GCf9SwDqJ7ILEfzY260XtON1dv2w9D+7kDGhA
W4ZjItxzTDeIJBXIyyHn2nykfwMKG/R1G5N0Ma8UIaa8iBK2iT8PW/ZgusPz7K758a8/pPXdOvmH
T4khxWBp8EyPPU3g4A36w6IExAyERK+OM85+JJ+WyTJFFETS+3LfggHfuVb7RX+ZBj2GGAgXb3Gk
DHvcT8xE90g0/bUoc2bbGMuizm3waJplfu0Eiw2Cpa6fGd/FvTGbD0ZQd5BhoJmHPZuvH6ZeBvsM
CBwJxUw9ZmljsuvPlwMhQqOY0jeWs/LoSseBRGM6ZAPa9oKnS3asRcJ+N3XzI7GkhfxEXscZlqTD
YLX+DwIaxanQ0A0ao8uIx6XJR8aDJ6zxtZ5ssU43AqJ6t5tWz77E41jhbCcEISaTrastxtAdXaZw
0iAlV5JpfALgEFYdk0YO9tqNQ0LvcyECiPyYSTRYaR2cxGbnXrjkK1aONBE7TJugp6X/EONQP3tp
Vn4JI2txGunBwjSqz0j1zC01BS3dFi8eaMrIq80eHH9QnYqlULS2BO6NC/4jkn5OuZ9V5/MNkl33
ExmPJpJuiDVF/0aWlL80pgZX+J40TP45QEqvP9c1A8SKDCq5tuCkJq25bhNBV4vCGsiuHnVI8xr8
I8Xl9n1GbVWI0Ap8PNEtESWjtl4d+oJI2WT6KaV46tJOxPKoVSV4OQMiw7UxagSJFqhGsc7zhaPu
bB3MNvBP42pb7xTKD7ek3gfG1vqI7dobAPbae0KoXBFTRXdCZ1nvbdcjJGQmHTOI/vVu29k9chAl
GF6SdqAugSpP1abHeRn3WWbdmQmxd9a26SRpT9ktGuVguz4zP62e3xxxTdwtfXWVJ05GV/RUktCs
RhQagvFZDRyx1zkamkAL9NRGhQ1U+oC35ipJ3bdMLfoxk1K/T4x1iYvefUa9xbbQNKg1QxFqhRs8
SQg9MCR65s1qnEmolsGunVYV1pRY7cai03ZywtblcWphiRppBqi/YyKtutBI8B6QVxtMqn6C3Jst
vBmVYKwFWpOVWwMnVPmJiws7S8RjqAS07rsNFtccN1Lqmod+GLQLZ21bCFKtHvZMDN/BP+iwAQcP
UOfi+OTmzELcQC3iFzIGo7tYFsM+MayvjoaV60ev5XZxtQUPMi3w6HYj4CQEkAwY0Q69JQmVXjQf
/WSnLwVNTJ+uNywv1tTP5xqZ4VROgcTIJexLgi+wCmWJEJPo02nEd3ajLSj2Y7UwHN0x+xsMmrgC
b+0io3Npz9DTmoTzqh7tSW/21ra7h7kjYqwjgHsWPFWQ/PODQZv0ZY7yjU6AzuC0/NeiGUsR5a7q
voXDyG3H5aC5PmLKoJf7pJgW0vv93F7rtKVHCRp0uE4L7qQWZ4sgsxTlKU8OYwVpChJHxCjCZswn
7s+eS8XKTI8B7ZD6crFKfXjG8mDfmNyo10uOcBYB2sKfqGOm+AXOdo6CSufYBrj0I2NKRolo7j19
gzAbxzN+aDr7C4Yn2Q29q+xOJrZ8bUsY2U0DoJwYmbsO4zFoYAXz5L5K7e6lKKwyKvV1jnKNfaHm
iOVQlYZ1woYOR4Nc3lMrh+rUoRx8rlqmH6uCNpSi50N2gu2XW7XQQTE+HpfFEtdWtiZnb+h5cs2k
K0LXQh4s2kbEQT/xyYlm3+DwmgEWWVSeyNWkttdOb1ZPoJcz+uLvmEEFtRP5EHKUxTspR8ptp0ny
kTTXSHeSFC1gC+Tg2Aoy54YybcYnzcAxT5or41+3CgNvTM7sVZxQJG6AlavqzxMgoJ1hoVSwB56e
cvoTYqs1ATcRZyGb69hQ1PS6OxBRdi4Y5Gn3Cy8AdJxhOh1nzBaBUGTOG30MaNBQduW97kG5B9Ax
3vc6hRe9lxkveBsvhv/i7tx2G7eBMPwqRu4rWAcfVCALFAmQpEmMdJti0asFI3Ntrm0pK9lJ3Kfv
R0l0TZ+yMXVhVHexlOFwODzMcOYf6hVf4f/NrorvAfY/58XwtvPWJjORRcEnZ2BAwhe+R2LvKC5B
/PPL9Du4k+HXMeWcFo94Sslsns9BeZq8gjCj2g/51zR+Afp29HKVP78sx1eIvzdJQOv6Mb7Li9kP
qtUu8aoTuUMyJVge7cs8pC7JXcwN8DMrK5AdOvs8Gg+I4Xqb/XNTbu//G1jyuiO63Dcwwxiifyxk
vvwsKW80XwF167cPmUrnjwQHHfORiWjeTaiuM16ZwElGjrjmgLDSdN2cJT5p7WS1olTye4jCVMDx
YijPz8KY2G3OWViY7fIh82pK3cf69S9xjLHbD7thHAG9w1M1uCaifUI43L9Kmoe/sXoghjOOXIq6
zyqZr8sgZCHejF4vedqWwgaNNSkQcI4BxzUY5079YCWsS6Hf9bDBySHpBdV7ktDwO5yQFHzARWDa
coZ8VApB3+tonwOAkqteWlIIvKhPeH/Qrz9AV05LCiT7dauhSd5+HcnswIzYqwv4cLgvCMjpq8d6
Y0b0Oh72cRs4u3pGYOGelhQogxZUTB0vBdYFwPXxyASdShc2ZoTv+x67YBCAY3Fq/Q8iBsdxLkQh
WtDv9slorNY9UkbW54IfkHxqfHwnNv54JbdQjD+6FkRtz8c0ZeWvtXyj//3YoxkOZfhwqufUtCCk
wtRP7o771wKSj0PcD2G3verluhYghR41VjuErlSz5ORWRAYocp4LPQ94CO3boraHfvDGrEuhmgtd
tI70Kv2c3O7IAKG/Tptj2PNIIuviIo2roaaTlhD8GKwu/FV+hNNeP6c2Iajk5Ff6efy2EEVeSD5e
j6Wh6iTuW1sKzBhmA6ku1ZnshI5IPdZyVyXoezGQ5B3SFXcrQbvjcemjz8unNvoBdqPzMZlDQacb
RZ2wXg63Rp9szw6hZb36HP2BheAnFGVle12M1XRYWl1KFruMs30fGHtj+31ta9wMz8+0UWV9qI2w
qm25upf8ZO0ZpSWw9tJYBmU79b/XHdxu2mrL9Mr8eK1kLvDSLMsXy5rNgZhhu/02FU/CxiJk/UXz
/uPk/Mzic0393yFcTISho2Xit/WVhjNdAMqy1CYc69Rjd8ITkRZ2jjJ4sqifK+ULMVXfsnwDoqTa
T5xpZ9MsF0OrElm1SLlTTlOZzFWysEzlHpFr7iK5lFPxKnJpKGn96FMr0Py989p+tfce0jtj3rey
by0ScxazJ2UpS+yHDWghns1cDS3CtfXsKvYrmeUjm2XORvre3pXyNRJXytApZ2QIVKj54XiR3wzB
MzVkSrrVKcGV4ZvpVKWZKmzSpV3iTDodKrGxikRAC5imHISRvdpqQVAEZ11Xhm+316auHzQwX27h
bJFMlobFcvz0Odz8cLwo7jJuZbbEDBBTA9vLPWVzrdVDB8w0wPO9oGqXSIem91ocQRuXlfnheHHc
i6IQyXhRyPnc0umAIJ8mRKKSsRoJ27kLslUDM/xesRcQzmdpNujDGi3LVbMpqQ2YYqFI+jHESqED
7tkQ9Yzo0w3SjTBOXNjGGhL4II2Ypo7XlIF8ysXG6YngDwo2OUt7IF+EvW/Vh3rXYRzI19a1mD0X
Y2Vv69DXxn4T9H+XeSGXhlapJRom2/zgIvDX1r18U4m1jeEJ1v7wJjj/O8snhlLNt3YvOpOmyvi4
dSEo5ans3Yz8XL+xBi7FZHPuU+WsgSPJvhq6KxPpONvjEMK6K+lcAphsRq4cyspT7DqUD+8gGTry
/XmcDWXrptja23pdHTDpyv2f2WKPIoIL5TewL1cNbCuiJt+APfKI9GVRSOtIUd8KuspmL/KV45D+
NRdjM3JaEesrG1d2D0Q8OzK8s+YhfvEG9O+LYN9JR5TisyRSOa5dJfJuwUZHuXxRRZIRMWLzXl09
OPO+BCAxHVlSAQv13T1zl6dpdVm97X8yV/G7/s12rukvkqkU+ad/AQAA//8=</cx:binary>
              </cx:geoCache>
            </cx:geography>
          </cx:layoutPr>
          <cx:valueColors>
            <cx:minColor>
              <a:schemeClr val="accent6">
                <a:lumMod val="60000"/>
                <a:lumOff val="40000"/>
              </a:schemeClr>
            </cx:minColor>
            <cx:maxColor>
              <a:srgbClr val="293E1A"/>
            </cx:maxColor>
          </cx:valueColors>
        </cx:series>
      </cx:plotAreaRegion>
    </cx:plotArea>
    <cx:legend pos="t" align="ctr" overlay="0">
      <cx:txPr>
        <a:bodyPr spcFirstLastPara="1" vertOverflow="ellipsis" horzOverflow="overflow" wrap="square" lIns="0" tIns="0" rIns="0" bIns="0" anchor="ctr" anchorCtr="1"/>
        <a:lstStyle/>
        <a:p>
          <a:pPr algn="ctr" rtl="0">
            <a:defRPr sz="1300" baseline="0"/>
          </a:pPr>
          <a:endParaRPr lang="en-US" sz="1300" b="0" i="0" u="none" strike="noStrike" baseline="0">
            <a:solidFill>
              <a:sysClr val="windowText" lastClr="000000">
                <a:lumMod val="65000"/>
                <a:lumOff val="35000"/>
              </a:sysClr>
            </a:solidFill>
            <a:latin typeface="Calibri" panose="020F0502020204030204"/>
          </a:endParaRPr>
        </a:p>
      </cx:txPr>
    </cx:legend>
  </cx:chart>
  <cx:spPr>
    <a:noFill/>
    <a:ln>
      <a:no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microsoft.com/office/2014/relationships/chartEx" Target="../charts/chartEx3.xml"/><Relationship Id="rId5" Type="http://schemas.openxmlformats.org/officeDocument/2006/relationships/chart" Target="../charts/chart4.xml"/><Relationship Id="rId10" Type="http://schemas.microsoft.com/office/2014/relationships/chartEx" Target="../charts/chartEx2.xml"/><Relationship Id="rId4" Type="http://schemas.openxmlformats.org/officeDocument/2006/relationships/chart" Target="../charts/chart3.xml"/><Relationship Id="rId9"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2.png"/><Relationship Id="rId18" Type="http://schemas.openxmlformats.org/officeDocument/2006/relationships/image" Target="../media/image7.svg"/><Relationship Id="rId3" Type="http://schemas.openxmlformats.org/officeDocument/2006/relationships/chart" Target="../charts/chart11.xml"/><Relationship Id="rId21" Type="http://schemas.openxmlformats.org/officeDocument/2006/relationships/image" Target="../media/image10.png"/><Relationship Id="rId7" Type="http://schemas.microsoft.com/office/2014/relationships/chartEx" Target="../charts/chartEx5.xml"/><Relationship Id="rId12" Type="http://schemas.openxmlformats.org/officeDocument/2006/relationships/chart" Target="../charts/chart18.xml"/><Relationship Id="rId17" Type="http://schemas.openxmlformats.org/officeDocument/2006/relationships/image" Target="../media/image6.png"/><Relationship Id="rId2" Type="http://schemas.openxmlformats.org/officeDocument/2006/relationships/chart" Target="../charts/chart10.xml"/><Relationship Id="rId16" Type="http://schemas.openxmlformats.org/officeDocument/2006/relationships/image" Target="../media/image5.svg"/><Relationship Id="rId20" Type="http://schemas.openxmlformats.org/officeDocument/2006/relationships/image" Target="../media/image9.svg"/><Relationship Id="rId1" Type="http://schemas.openxmlformats.org/officeDocument/2006/relationships/chart" Target="../charts/chart9.xml"/><Relationship Id="rId6" Type="http://schemas.microsoft.com/office/2014/relationships/chartEx" Target="../charts/chartEx4.xml"/><Relationship Id="rId11" Type="http://schemas.openxmlformats.org/officeDocument/2006/relationships/chart" Target="../charts/chart17.xml"/><Relationship Id="rId24" Type="http://schemas.openxmlformats.org/officeDocument/2006/relationships/image" Target="../media/image13.svg"/><Relationship Id="rId5" Type="http://schemas.openxmlformats.org/officeDocument/2006/relationships/chart" Target="../charts/chart13.xml"/><Relationship Id="rId15" Type="http://schemas.openxmlformats.org/officeDocument/2006/relationships/image" Target="../media/image4.png"/><Relationship Id="rId23" Type="http://schemas.openxmlformats.org/officeDocument/2006/relationships/image" Target="../media/image12.png"/><Relationship Id="rId10" Type="http://schemas.openxmlformats.org/officeDocument/2006/relationships/chart" Target="../charts/chart16.xml"/><Relationship Id="rId19" Type="http://schemas.openxmlformats.org/officeDocument/2006/relationships/image" Target="../media/image8.png"/><Relationship Id="rId4" Type="http://schemas.openxmlformats.org/officeDocument/2006/relationships/chart" Target="../charts/chart12.xml"/><Relationship Id="rId9" Type="http://schemas.openxmlformats.org/officeDocument/2006/relationships/chart" Target="../charts/chart15.xml"/><Relationship Id="rId14" Type="http://schemas.openxmlformats.org/officeDocument/2006/relationships/image" Target="../media/image3.svg"/><Relationship Id="rId22"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377754</xdr:colOff>
      <xdr:row>6</xdr:row>
      <xdr:rowOff>74899</xdr:rowOff>
    </xdr:from>
    <xdr:to>
      <xdr:col>2</xdr:col>
      <xdr:colOff>385138</xdr:colOff>
      <xdr:row>11</xdr:row>
      <xdr:rowOff>141353</xdr:rowOff>
    </xdr:to>
    <xdr:cxnSp macro="">
      <xdr:nvCxnSpPr>
        <xdr:cNvPr id="9" name="Straight Connector 8">
          <a:extLst>
            <a:ext uri="{FF2B5EF4-FFF2-40B4-BE49-F238E27FC236}">
              <a16:creationId xmlns:a16="http://schemas.microsoft.com/office/drawing/2014/main" id="{00000000-0008-0000-0300-000009000000}"/>
            </a:ext>
          </a:extLst>
        </xdr:cNvPr>
        <xdr:cNvCxnSpPr/>
      </xdr:nvCxnSpPr>
      <xdr:spPr>
        <a:xfrm>
          <a:off x="1602397" y="1163470"/>
          <a:ext cx="7384" cy="973597"/>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153940</xdr:colOff>
      <xdr:row>2</xdr:row>
      <xdr:rowOff>164914</xdr:rowOff>
    </xdr:from>
    <xdr:to>
      <xdr:col>19</xdr:col>
      <xdr:colOff>437842</xdr:colOff>
      <xdr:row>88</xdr:row>
      <xdr:rowOff>109905</xdr:rowOff>
    </xdr:to>
    <xdr:sp macro="" textlink="">
      <xdr:nvSpPr>
        <xdr:cNvPr id="11" name="Rectangle: Rounded Corners 10">
          <a:extLst>
            <a:ext uri="{FF2B5EF4-FFF2-40B4-BE49-F238E27FC236}">
              <a16:creationId xmlns:a16="http://schemas.microsoft.com/office/drawing/2014/main" id="{00000000-0008-0000-0300-00000B000000}"/>
            </a:ext>
          </a:extLst>
        </xdr:cNvPr>
        <xdr:cNvSpPr/>
      </xdr:nvSpPr>
      <xdr:spPr>
        <a:xfrm>
          <a:off x="153940" y="531260"/>
          <a:ext cx="11884864" cy="15697876"/>
        </a:xfrm>
        <a:prstGeom prst="roundRect">
          <a:avLst>
            <a:gd name="adj" fmla="val 5238"/>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baseline="0">
              <a:latin typeface="+mn-lt"/>
            </a:rPr>
            <a:t>PRE-INSIGHTS </a:t>
          </a:r>
        </a:p>
        <a:p>
          <a:pPr algn="l"/>
          <a:endParaRPr lang="en-US" sz="1200" baseline="0">
            <a:latin typeface="+mn-lt"/>
          </a:endParaRPr>
        </a:p>
        <a:p>
          <a:pPr algn="l"/>
          <a:endParaRPr lang="en-US" sz="1200" baseline="0">
            <a:latin typeface="+mn-lt"/>
          </a:endParaRPr>
        </a:p>
        <a:p>
          <a:r>
            <a:rPr lang="en-US" sz="1200" b="1">
              <a:solidFill>
                <a:schemeClr val="lt1"/>
              </a:solidFill>
              <a:effectLst/>
              <a:latin typeface="+mn-lt"/>
              <a:ea typeface="+mn-ea"/>
              <a:cs typeface="+mn-cs"/>
            </a:rPr>
            <a:t>1. SALES</a:t>
          </a:r>
          <a:r>
            <a:rPr lang="en-US" sz="1200" b="1" baseline="0">
              <a:solidFill>
                <a:schemeClr val="lt1"/>
              </a:solidFill>
              <a:effectLst/>
              <a:latin typeface="+mn-lt"/>
              <a:ea typeface="+mn-ea"/>
              <a:cs typeface="+mn-cs"/>
            </a:rPr>
            <a:t> TREND REPORT</a:t>
          </a:r>
          <a:endParaRPr lang="en-US" sz="1200">
            <a:effectLst/>
            <a:latin typeface="+mn-lt"/>
          </a:endParaRPr>
        </a:p>
        <a:p>
          <a:r>
            <a:rPr lang="en-US" sz="1200">
              <a:solidFill>
                <a:schemeClr val="lt1"/>
              </a:solidFill>
              <a:effectLst/>
              <a:latin typeface="+mn-lt"/>
              <a:ea typeface="+mn-ea"/>
              <a:cs typeface="+mn-cs"/>
            </a:rPr>
            <a:t>This analysis focuses on understanding how </a:t>
          </a:r>
          <a:r>
            <a:rPr lang="en-US" sz="1200" b="1">
              <a:solidFill>
                <a:schemeClr val="lt1"/>
              </a:solidFill>
              <a:effectLst/>
              <a:latin typeface="+mn-lt"/>
              <a:ea typeface="+mn-ea"/>
              <a:cs typeface="+mn-cs"/>
            </a:rPr>
            <a:t>sales revenue changes over time</a:t>
          </a:r>
          <a:r>
            <a:rPr lang="en-US" sz="1200">
              <a:solidFill>
                <a:schemeClr val="lt1"/>
              </a:solidFill>
              <a:effectLst/>
              <a:latin typeface="+mn-lt"/>
              <a:ea typeface="+mn-ea"/>
              <a:cs typeface="+mn-cs"/>
            </a:rPr>
            <a:t> using </a:t>
          </a:r>
          <a:r>
            <a:rPr lang="en-US" sz="1200" b="1">
              <a:solidFill>
                <a:schemeClr val="lt1"/>
              </a:solidFill>
              <a:effectLst/>
              <a:latin typeface="+mn-lt"/>
              <a:ea typeface="+mn-ea"/>
              <a:cs typeface="+mn-cs"/>
            </a:rPr>
            <a:t>Revenue</a:t>
          </a:r>
          <a:r>
            <a:rPr lang="en-US" sz="1200">
              <a:solidFill>
                <a:schemeClr val="lt1"/>
              </a:solidFill>
              <a:effectLst/>
              <a:latin typeface="+mn-lt"/>
              <a:ea typeface="+mn-ea"/>
              <a:cs typeface="+mn-cs"/>
            </a:rPr>
            <a:t> and </a:t>
          </a:r>
          <a:r>
            <a:rPr lang="en-US" sz="1200" b="1">
              <a:solidFill>
                <a:schemeClr val="lt1"/>
              </a:solidFill>
              <a:effectLst/>
              <a:latin typeface="+mn-lt"/>
              <a:ea typeface="+mn-ea"/>
              <a:cs typeface="+mn-cs"/>
            </a:rPr>
            <a:t>Order Date</a:t>
          </a:r>
          <a:r>
            <a:rPr lang="en-US" sz="1200">
              <a:solidFill>
                <a:schemeClr val="lt1"/>
              </a:solidFill>
              <a:effectLst/>
              <a:latin typeface="+mn-lt"/>
              <a:ea typeface="+mn-ea"/>
              <a:cs typeface="+mn-cs"/>
            </a:rPr>
            <a:t> as the key variables.</a:t>
          </a:r>
          <a:endParaRPr lang="en-US" sz="1200">
            <a:effectLst/>
            <a:latin typeface="+mn-lt"/>
          </a:endParaRPr>
        </a:p>
        <a:p>
          <a:r>
            <a:rPr lang="en-US" sz="1200">
              <a:solidFill>
                <a:schemeClr val="lt1"/>
              </a:solidFill>
              <a:effectLst/>
              <a:latin typeface="+mn-lt"/>
              <a:ea typeface="+mn-ea"/>
              <a:cs typeface="+mn-cs"/>
            </a:rPr>
            <a:t>INSIGHTS:</a:t>
          </a:r>
          <a:r>
            <a:rPr lang="en-US" sz="1200" baseline="0">
              <a:solidFill>
                <a:schemeClr val="lt1"/>
              </a:solidFill>
              <a:effectLst/>
              <a:latin typeface="+mn-lt"/>
              <a:ea typeface="+mn-ea"/>
              <a:cs typeface="+mn-cs"/>
            </a:rPr>
            <a:t> </a:t>
          </a:r>
          <a:r>
            <a:rPr lang="en-US" sz="1200">
              <a:solidFill>
                <a:schemeClr val="lt1"/>
              </a:solidFill>
              <a:effectLst/>
              <a:latin typeface="+mn-lt"/>
              <a:ea typeface="+mn-ea"/>
              <a:cs typeface="+mn-cs"/>
            </a:rPr>
            <a:t>Based on typical business performance patterns, it is expected that </a:t>
          </a:r>
          <a:r>
            <a:rPr lang="en-US" sz="1200" b="1">
              <a:solidFill>
                <a:schemeClr val="lt1"/>
              </a:solidFill>
              <a:effectLst/>
              <a:latin typeface="+mn-lt"/>
              <a:ea typeface="+mn-ea"/>
              <a:cs typeface="+mn-cs"/>
            </a:rPr>
            <a:t>revenue will show a progressive increase across the year</a:t>
          </a:r>
          <a:r>
            <a:rPr lang="en-US" sz="1200">
              <a:solidFill>
                <a:schemeClr val="lt1"/>
              </a:solidFill>
              <a:effectLst/>
              <a:latin typeface="+mn-lt"/>
              <a:ea typeface="+mn-ea"/>
              <a:cs typeface="+mn-cs"/>
            </a:rPr>
            <a:t>.</a:t>
          </a:r>
          <a:endParaRPr lang="en-US" sz="1200">
            <a:effectLst/>
            <a:latin typeface="+mn-lt"/>
          </a:endParaRPr>
        </a:p>
        <a:p>
          <a:r>
            <a:rPr lang="en-US" sz="1200">
              <a:solidFill>
                <a:schemeClr val="lt1"/>
              </a:solidFill>
              <a:effectLst/>
              <a:latin typeface="+mn-lt"/>
              <a:ea typeface="+mn-ea"/>
              <a:cs typeface="+mn-cs"/>
            </a:rPr>
            <a:t>Seasonal factors, promotional activities, or increased customer demand may contribute to </a:t>
          </a:r>
          <a:r>
            <a:rPr lang="en-US" sz="1200" b="1">
              <a:solidFill>
                <a:schemeClr val="lt1"/>
              </a:solidFill>
              <a:effectLst/>
              <a:latin typeface="+mn-lt"/>
              <a:ea typeface="+mn-ea"/>
              <a:cs typeface="+mn-cs"/>
            </a:rPr>
            <a:t>higher revenue in later periods</a:t>
          </a:r>
          <a:r>
            <a:rPr lang="en-US" sz="1200">
              <a:solidFill>
                <a:schemeClr val="lt1"/>
              </a:solidFill>
              <a:effectLst/>
              <a:latin typeface="+mn-lt"/>
              <a:ea typeface="+mn-ea"/>
              <a:cs typeface="+mn-cs"/>
            </a:rPr>
            <a:t> compared to earlier months.</a:t>
          </a:r>
          <a:endParaRPr lang="en-US" sz="1200">
            <a:effectLst/>
            <a:latin typeface="+mn-lt"/>
          </a:endParaRPr>
        </a:p>
        <a:p>
          <a:r>
            <a:rPr lang="en-US" sz="1200">
              <a:solidFill>
                <a:schemeClr val="lt1"/>
              </a:solidFill>
              <a:effectLst/>
              <a:latin typeface="+mn-lt"/>
              <a:ea typeface="+mn-ea"/>
              <a:cs typeface="+mn-cs"/>
            </a:rPr>
            <a:t>There may be identifiable periods of </a:t>
          </a:r>
          <a:r>
            <a:rPr lang="en-US" sz="1200" b="1">
              <a:solidFill>
                <a:schemeClr val="lt1"/>
              </a:solidFill>
              <a:effectLst/>
              <a:latin typeface="+mn-lt"/>
              <a:ea typeface="+mn-ea"/>
              <a:cs typeface="+mn-cs"/>
            </a:rPr>
            <a:t>accelerated growth or slowdowns</a:t>
          </a:r>
          <a:r>
            <a:rPr lang="en-US" sz="1200">
              <a:solidFill>
                <a:schemeClr val="lt1"/>
              </a:solidFill>
              <a:effectLst/>
              <a:latin typeface="+mn-lt"/>
              <a:ea typeface="+mn-ea"/>
              <a:cs typeface="+mn-cs"/>
            </a:rPr>
            <a:t>, which could reflect market behavior or operational decisions.</a:t>
          </a:r>
        </a:p>
        <a:p>
          <a:endParaRPr lang="en-US" sz="1200">
            <a:solidFill>
              <a:schemeClr val="lt1"/>
            </a:solidFill>
            <a:effectLst/>
            <a:latin typeface="+mn-lt"/>
            <a:ea typeface="+mn-ea"/>
            <a:cs typeface="+mn-cs"/>
          </a:endParaRPr>
        </a:p>
        <a:p>
          <a:endParaRPr lang="en-US" sz="1200">
            <a:effectLst/>
            <a:latin typeface="+mn-lt"/>
          </a:endParaRPr>
        </a:p>
        <a:p>
          <a:r>
            <a:rPr lang="en-US" sz="1200" b="0" baseline="0">
              <a:solidFill>
                <a:schemeClr val="lt1"/>
              </a:solidFill>
              <a:effectLst/>
              <a:latin typeface="+mn-lt"/>
              <a:ea typeface="+mn-ea"/>
              <a:cs typeface="+mn-cs"/>
            </a:rPr>
            <a:t>2. TOP 10 CUSTOMERS</a:t>
          </a:r>
          <a:endParaRPr lang="en-US" sz="1200">
            <a:effectLst/>
            <a:latin typeface="+mn-lt"/>
          </a:endParaRPr>
        </a:p>
        <a:p>
          <a:r>
            <a:rPr lang="en-US" sz="1200">
              <a:solidFill>
                <a:schemeClr val="lt1"/>
              </a:solidFill>
              <a:effectLst/>
              <a:latin typeface="+mn-lt"/>
              <a:ea typeface="+mn-ea"/>
              <a:cs typeface="+mn-cs"/>
            </a:rPr>
            <a:t>This analysis aims to </a:t>
          </a:r>
          <a:r>
            <a:rPr lang="en-US" sz="1200" b="1">
              <a:solidFill>
                <a:schemeClr val="lt1"/>
              </a:solidFill>
              <a:effectLst/>
              <a:latin typeface="+mn-lt"/>
              <a:ea typeface="+mn-ea"/>
              <a:cs typeface="+mn-cs"/>
            </a:rPr>
            <a:t>identify the top 10 customers actively generating revenue</a:t>
          </a:r>
          <a:r>
            <a:rPr lang="en-US" sz="1200">
              <a:solidFill>
                <a:schemeClr val="lt1"/>
              </a:solidFill>
              <a:effectLst/>
              <a:latin typeface="+mn-lt"/>
              <a:ea typeface="+mn-ea"/>
              <a:cs typeface="+mn-cs"/>
            </a:rPr>
            <a:t> for the company by examining </a:t>
          </a:r>
          <a:r>
            <a:rPr lang="en-US" sz="1200" b="1">
              <a:solidFill>
                <a:schemeClr val="lt1"/>
              </a:solidFill>
              <a:effectLst/>
              <a:latin typeface="+mn-lt"/>
              <a:ea typeface="+mn-ea"/>
              <a:cs typeface="+mn-cs"/>
            </a:rPr>
            <a:t>Total Revenue</a:t>
          </a:r>
          <a:r>
            <a:rPr lang="en-US" sz="1200">
              <a:solidFill>
                <a:schemeClr val="lt1"/>
              </a:solidFill>
              <a:effectLst/>
              <a:latin typeface="+mn-lt"/>
              <a:ea typeface="+mn-ea"/>
              <a:cs typeface="+mn-cs"/>
            </a:rPr>
            <a:t> in relation to </a:t>
          </a:r>
          <a:r>
            <a:rPr lang="en-US" sz="1200" b="1">
              <a:solidFill>
                <a:schemeClr val="lt1"/>
              </a:solidFill>
              <a:effectLst/>
              <a:latin typeface="+mn-lt"/>
              <a:ea typeface="+mn-ea"/>
              <a:cs typeface="+mn-cs"/>
            </a:rPr>
            <a:t>Customer Name/ID</a:t>
          </a:r>
          <a:r>
            <a:rPr lang="en-US" sz="1200">
              <a:solidFill>
                <a:schemeClr val="lt1"/>
              </a:solidFill>
              <a:effectLst/>
              <a:latin typeface="+mn-lt"/>
              <a:ea typeface="+mn-ea"/>
              <a:cs typeface="+mn-cs"/>
            </a:rPr>
            <a:t>.</a:t>
          </a:r>
          <a:endParaRPr lang="en-US" sz="1200">
            <a:effectLst/>
            <a:latin typeface="+mn-lt"/>
          </a:endParaRPr>
        </a:p>
        <a:p>
          <a:r>
            <a:rPr lang="en-US" sz="1200">
              <a:solidFill>
                <a:schemeClr val="lt1"/>
              </a:solidFill>
              <a:effectLst/>
              <a:latin typeface="+mn-lt"/>
              <a:ea typeface="+mn-ea"/>
              <a:cs typeface="+mn-cs"/>
            </a:rPr>
            <a:t>INSIGHTS: It is expected that a </a:t>
          </a:r>
          <a:r>
            <a:rPr lang="en-US" sz="1200" b="1">
              <a:solidFill>
                <a:schemeClr val="lt1"/>
              </a:solidFill>
              <a:effectLst/>
              <a:latin typeface="+mn-lt"/>
              <a:ea typeface="+mn-ea"/>
              <a:cs typeface="+mn-cs"/>
            </a:rPr>
            <a:t>small group of customers will contribute a disproportionately large share of total revenue</a:t>
          </a:r>
          <a:r>
            <a:rPr lang="en-US" sz="1200">
              <a:solidFill>
                <a:schemeClr val="lt1"/>
              </a:solidFill>
              <a:effectLst/>
              <a:latin typeface="+mn-lt"/>
              <a:ea typeface="+mn-ea"/>
              <a:cs typeface="+mn-cs"/>
            </a:rPr>
            <a:t>, reflecting customer concentration.</a:t>
          </a:r>
          <a:endParaRPr lang="en-US" sz="1200">
            <a:effectLst/>
            <a:latin typeface="+mn-lt"/>
          </a:endParaRPr>
        </a:p>
        <a:p>
          <a:r>
            <a:rPr lang="en-US" sz="1200">
              <a:solidFill>
                <a:schemeClr val="lt1"/>
              </a:solidFill>
              <a:effectLst/>
              <a:latin typeface="+mn-lt"/>
              <a:ea typeface="+mn-ea"/>
              <a:cs typeface="+mn-cs"/>
            </a:rPr>
            <a:t>These top customers may demonstrate </a:t>
          </a:r>
          <a:r>
            <a:rPr lang="en-US" sz="1200" b="1">
              <a:solidFill>
                <a:schemeClr val="lt1"/>
              </a:solidFill>
              <a:effectLst/>
              <a:latin typeface="+mn-lt"/>
              <a:ea typeface="+mn-ea"/>
              <a:cs typeface="+mn-cs"/>
            </a:rPr>
            <a:t>repeat purchase behavior</a:t>
          </a:r>
          <a:r>
            <a:rPr lang="en-US" sz="1200">
              <a:solidFill>
                <a:schemeClr val="lt1"/>
              </a:solidFill>
              <a:effectLst/>
              <a:latin typeface="+mn-lt"/>
              <a:ea typeface="+mn-ea"/>
              <a:cs typeface="+mn-cs"/>
            </a:rPr>
            <a:t> or higher order values compared to other customers.</a:t>
          </a:r>
          <a:endParaRPr lang="en-US" sz="1200">
            <a:effectLst/>
            <a:latin typeface="+mn-lt"/>
          </a:endParaRPr>
        </a:p>
        <a:p>
          <a:r>
            <a:rPr lang="en-US" sz="1200">
              <a:solidFill>
                <a:schemeClr val="lt1"/>
              </a:solidFill>
              <a:effectLst/>
              <a:latin typeface="+mn-lt"/>
              <a:ea typeface="+mn-ea"/>
              <a:cs typeface="+mn-cs"/>
            </a:rPr>
            <a:t>Revenue contributions among the top 10 customers are likely to vary, with </a:t>
          </a:r>
          <a:r>
            <a:rPr lang="en-US" sz="1200" b="1">
              <a:solidFill>
                <a:schemeClr val="lt1"/>
              </a:solidFill>
              <a:effectLst/>
              <a:latin typeface="+mn-lt"/>
              <a:ea typeface="+mn-ea"/>
              <a:cs typeface="+mn-cs"/>
            </a:rPr>
            <a:t>one or two customers potentially dominating overall sales performance</a:t>
          </a:r>
          <a:r>
            <a:rPr lang="en-US" sz="1200">
              <a:solidFill>
                <a:schemeClr val="lt1"/>
              </a:solidFill>
              <a:effectLst/>
              <a:latin typeface="+mn-lt"/>
              <a:ea typeface="+mn-ea"/>
              <a:cs typeface="+mn-cs"/>
            </a:rPr>
            <a:t>.</a:t>
          </a:r>
          <a:endParaRPr lang="en-US" sz="1200">
            <a:effectLst/>
            <a:latin typeface="+mn-lt"/>
          </a:endParaRPr>
        </a:p>
        <a:p>
          <a:r>
            <a:rPr lang="en-US" sz="1200">
              <a:solidFill>
                <a:schemeClr val="lt1"/>
              </a:solidFill>
              <a:effectLst/>
              <a:latin typeface="+mn-lt"/>
              <a:ea typeface="+mn-ea"/>
              <a:cs typeface="+mn-cs"/>
            </a:rPr>
            <a:t>Identifying these key customers may reveal </a:t>
          </a:r>
          <a:r>
            <a:rPr lang="en-US" sz="1200" b="1">
              <a:solidFill>
                <a:schemeClr val="lt1"/>
              </a:solidFill>
              <a:effectLst/>
              <a:latin typeface="+mn-lt"/>
              <a:ea typeface="+mn-ea"/>
              <a:cs typeface="+mn-cs"/>
            </a:rPr>
            <a:t>strategic relationships</a:t>
          </a:r>
          <a:r>
            <a:rPr lang="en-US" sz="1200">
              <a:solidFill>
                <a:schemeClr val="lt1"/>
              </a:solidFill>
              <a:effectLst/>
              <a:latin typeface="+mn-lt"/>
              <a:ea typeface="+mn-ea"/>
              <a:cs typeface="+mn-cs"/>
            </a:rPr>
            <a:t> that are critical to sustaining revenue growth.</a:t>
          </a:r>
          <a:endParaRPr lang="en-US" sz="1200">
            <a:effectLst/>
            <a:latin typeface="+mn-lt"/>
          </a:endParaRPr>
        </a:p>
        <a:p>
          <a:r>
            <a:rPr lang="en-US" sz="1200">
              <a:solidFill>
                <a:schemeClr val="lt1"/>
              </a:solidFill>
              <a:effectLst/>
              <a:latin typeface="+mn-lt"/>
              <a:ea typeface="+mn-ea"/>
              <a:cs typeface="+mn-cs"/>
            </a:rPr>
            <a:t>The analysis may also highlight the company’s </a:t>
          </a:r>
          <a:r>
            <a:rPr lang="en-US" sz="1200" b="1">
              <a:solidFill>
                <a:schemeClr val="lt1"/>
              </a:solidFill>
              <a:effectLst/>
              <a:latin typeface="+mn-lt"/>
              <a:ea typeface="+mn-ea"/>
              <a:cs typeface="+mn-cs"/>
            </a:rPr>
            <a:t>dependency on high-value customers</a:t>
          </a:r>
          <a:r>
            <a:rPr lang="en-US" sz="1200">
              <a:solidFill>
                <a:schemeClr val="lt1"/>
              </a:solidFill>
              <a:effectLst/>
              <a:latin typeface="+mn-lt"/>
              <a:ea typeface="+mn-ea"/>
              <a:cs typeface="+mn-cs"/>
            </a:rPr>
            <a:t>, which could have implications for customer retention and risk management.</a:t>
          </a:r>
          <a:r>
            <a:rPr lang="en-US" sz="1200" baseline="0">
              <a:solidFill>
                <a:schemeClr val="lt1"/>
              </a:solidFill>
              <a:effectLst/>
              <a:latin typeface="+mn-lt"/>
              <a:ea typeface="+mn-ea"/>
              <a:cs typeface="+mn-cs"/>
            </a:rPr>
            <a:t> </a:t>
          </a:r>
          <a:r>
            <a:rPr lang="en-US" sz="1200">
              <a:solidFill>
                <a:schemeClr val="lt1"/>
              </a:solidFill>
              <a:effectLst/>
              <a:latin typeface="+mn-lt"/>
              <a:ea typeface="+mn-ea"/>
              <a:cs typeface="+mn-cs"/>
            </a:rPr>
            <a:t>Overall, the expectation is that focusing on the top revenue-generating customers will provide insights into </a:t>
          </a:r>
          <a:r>
            <a:rPr lang="en-US" sz="1200" b="1">
              <a:solidFill>
                <a:schemeClr val="lt1"/>
              </a:solidFill>
              <a:effectLst/>
              <a:latin typeface="+mn-lt"/>
              <a:ea typeface="+mn-ea"/>
              <a:cs typeface="+mn-cs"/>
            </a:rPr>
            <a:t>customer value distribution and revenue stability</a:t>
          </a:r>
          <a:r>
            <a:rPr lang="en-US" sz="1200">
              <a:solidFill>
                <a:schemeClr val="lt1"/>
              </a:solidFill>
              <a:effectLst/>
              <a:latin typeface="+mn-lt"/>
              <a:ea typeface="+mn-ea"/>
              <a:cs typeface="+mn-cs"/>
            </a:rPr>
            <a:t>.</a:t>
          </a:r>
          <a:endParaRPr lang="en-US" sz="1200">
            <a:effectLst/>
            <a:latin typeface="+mn-lt"/>
          </a:endParaRPr>
        </a:p>
        <a:p>
          <a:pPr algn="l"/>
          <a:endParaRPr lang="en-US" sz="1200" baseline="0">
            <a:latin typeface="+mn-lt"/>
          </a:endParaRPr>
        </a:p>
        <a:p>
          <a:pPr algn="l"/>
          <a:endParaRPr lang="en-US" sz="1200" baseline="0">
            <a:latin typeface="+mn-lt"/>
          </a:endParaRPr>
        </a:p>
        <a:p>
          <a:pPr algn="l"/>
          <a:endParaRPr lang="en-US" sz="1200" baseline="0">
            <a:latin typeface="+mn-lt"/>
          </a:endParaRPr>
        </a:p>
        <a:p>
          <a:r>
            <a:rPr lang="en-US" sz="1200" b="0" baseline="0">
              <a:solidFill>
                <a:schemeClr val="lt1"/>
              </a:solidFill>
              <a:effectLst/>
              <a:latin typeface="+mn-lt"/>
              <a:ea typeface="+mn-ea"/>
              <a:cs typeface="+mn-cs"/>
            </a:rPr>
            <a:t>3. Sales By Rep</a:t>
          </a:r>
          <a:endParaRPr lang="en-US" sz="1200">
            <a:effectLst/>
            <a:latin typeface="+mn-lt"/>
          </a:endParaRPr>
        </a:p>
        <a:p>
          <a:r>
            <a:rPr lang="en-US" sz="1200" b="0" baseline="0">
              <a:solidFill>
                <a:schemeClr val="lt1"/>
              </a:solidFill>
              <a:effectLst/>
              <a:latin typeface="+mn-lt"/>
              <a:ea typeface="+mn-ea"/>
              <a:cs typeface="+mn-cs"/>
            </a:rPr>
            <a:t>This analysis focuses on understanding how revenue over time was influenced by sales person. It shows each sales person contribution to the growth of the company.</a:t>
          </a:r>
          <a:endParaRPr lang="en-US" sz="1200">
            <a:effectLst/>
            <a:latin typeface="+mn-lt"/>
          </a:endParaRPr>
        </a:p>
        <a:p>
          <a:r>
            <a:rPr lang="en-US" sz="1200" b="0" baseline="0">
              <a:solidFill>
                <a:schemeClr val="lt1"/>
              </a:solidFill>
              <a:effectLst/>
              <a:latin typeface="+mn-lt"/>
              <a:ea typeface="+mn-ea"/>
              <a:cs typeface="+mn-cs"/>
            </a:rPr>
            <a:t>Metrics: The two metrics in achieving this are Sales Person x Revenue generated.</a:t>
          </a:r>
          <a:endParaRPr lang="en-US" sz="1200">
            <a:effectLst/>
            <a:latin typeface="+mn-lt"/>
          </a:endParaRPr>
        </a:p>
        <a:p>
          <a:r>
            <a:rPr lang="en-US" sz="1200" b="0" baseline="0">
              <a:solidFill>
                <a:schemeClr val="lt1"/>
              </a:solidFill>
              <a:effectLst/>
              <a:latin typeface="+mn-lt"/>
              <a:ea typeface="+mn-ea"/>
              <a:cs typeface="+mn-cs"/>
            </a:rPr>
            <a:t>Insights: There are more than  active sales person in the data set, but We are expected to see the level of performance of each sales person, and aswell understand why the others are not having an impressive engagements and what can be done.</a:t>
          </a:r>
        </a:p>
        <a:p>
          <a:endParaRPr lang="en-US" sz="1200" b="0" baseline="0">
            <a:solidFill>
              <a:schemeClr val="lt1"/>
            </a:solidFill>
            <a:effectLst/>
            <a:latin typeface="+mn-lt"/>
            <a:ea typeface="+mn-ea"/>
            <a:cs typeface="+mn-cs"/>
          </a:endParaRPr>
        </a:p>
        <a:p>
          <a:endParaRPr lang="en-US" sz="1200">
            <a:effectLst/>
            <a:latin typeface="+mn-lt"/>
          </a:endParaRPr>
        </a:p>
        <a:p>
          <a:r>
            <a:rPr lang="en-US" sz="1200" b="0" baseline="0">
              <a:solidFill>
                <a:schemeClr val="lt1"/>
              </a:solidFill>
              <a:effectLst/>
              <a:latin typeface="+mn-lt"/>
              <a:ea typeface="+mn-ea"/>
              <a:cs typeface="+mn-cs"/>
            </a:rPr>
            <a:t>4. Sales By Region</a:t>
          </a:r>
          <a:endParaRPr lang="en-US" sz="1200">
            <a:effectLst/>
            <a:latin typeface="+mn-lt"/>
          </a:endParaRPr>
        </a:p>
        <a:p>
          <a:r>
            <a:rPr lang="en-US" sz="1200" b="0" baseline="0">
              <a:solidFill>
                <a:schemeClr val="lt1"/>
              </a:solidFill>
              <a:effectLst/>
              <a:latin typeface="+mn-lt"/>
              <a:ea typeface="+mn-ea"/>
              <a:cs typeface="+mn-cs"/>
            </a:rPr>
            <a:t>This focuses on identifying how sales is generated from the various regions identified in the data set. Its expected to know the rate at which each individual region contributes to the growth of the business. </a:t>
          </a:r>
          <a:endParaRPr lang="en-US" sz="1200">
            <a:effectLst/>
            <a:latin typeface="+mn-lt"/>
          </a:endParaRPr>
        </a:p>
        <a:p>
          <a:r>
            <a:rPr lang="en-US" sz="1200" b="0" baseline="0">
              <a:solidFill>
                <a:schemeClr val="lt1"/>
              </a:solidFill>
              <a:effectLst/>
              <a:latin typeface="+mn-lt"/>
              <a:ea typeface="+mn-ea"/>
              <a:cs typeface="+mn-cs"/>
            </a:rPr>
            <a:t>Metrics: For the success of this analysis, two variables are matched against each other viz; Region x Revenue</a:t>
          </a:r>
          <a:endParaRPr lang="en-US" sz="1200">
            <a:effectLst/>
            <a:latin typeface="+mn-lt"/>
          </a:endParaRPr>
        </a:p>
        <a:p>
          <a:r>
            <a:rPr lang="en-US" sz="1200" b="0" baseline="0">
              <a:solidFill>
                <a:schemeClr val="lt1"/>
              </a:solidFill>
              <a:effectLst/>
              <a:latin typeface="+mn-lt"/>
              <a:ea typeface="+mn-ea"/>
              <a:cs typeface="+mn-cs"/>
            </a:rPr>
            <a:t>Inaights: There are 4 identifiable regions from the data set. It is expected to show the quota contribution per region and to identify factos that influences sales in that region.</a:t>
          </a:r>
          <a:endParaRPr lang="en-US" sz="1200">
            <a:effectLst/>
            <a:latin typeface="+mn-lt"/>
          </a:endParaRPr>
        </a:p>
        <a:p>
          <a:pPr algn="l"/>
          <a:endParaRPr lang="en-US" sz="1200" baseline="0">
            <a:latin typeface="+mn-lt"/>
          </a:endParaRPr>
        </a:p>
        <a:p>
          <a:pPr algn="l"/>
          <a:endParaRPr lang="en-US" sz="1200" baseline="0">
            <a:latin typeface="+mn-lt"/>
          </a:endParaRPr>
        </a:p>
        <a:p>
          <a:pPr algn="l"/>
          <a:r>
            <a:rPr lang="en-US" sz="1200" baseline="0">
              <a:latin typeface="+mn-lt"/>
            </a:rPr>
            <a:t>5. TOP 5 CITIES BY REVENUE </a:t>
          </a:r>
        </a:p>
        <a:p>
          <a:pPr algn="l"/>
          <a:endParaRPr lang="en-US" sz="1200" baseline="0">
            <a:latin typeface="+mn-lt"/>
          </a:endParaRPr>
        </a:p>
        <a:p>
          <a:pPr algn="l"/>
          <a:r>
            <a:rPr lang="en-US" sz="1200" baseline="0">
              <a:latin typeface="+mn-lt"/>
            </a:rPr>
            <a:t>This analysis is expected to show the revenue generated by each cities showing exactly the value apportioned to each city.</a:t>
          </a:r>
        </a:p>
        <a:p>
          <a:pPr algn="l"/>
          <a:r>
            <a:rPr lang="en-US" sz="1200" baseline="0">
              <a:latin typeface="+mn-lt"/>
            </a:rPr>
            <a:t>Metrics: The two metrics to achieve this are Cities and Revenue</a:t>
          </a:r>
        </a:p>
        <a:p>
          <a:pPr algn="l"/>
          <a:r>
            <a:rPr lang="en-US" sz="1200" baseline="0">
              <a:latin typeface="+mn-lt"/>
            </a:rPr>
            <a:t>insights: More than 10 cities are recorded in the data set</a:t>
          </a:r>
        </a:p>
        <a:p>
          <a:pPr algn="l"/>
          <a:endParaRPr lang="en-US" sz="1200" baseline="0">
            <a:latin typeface="+mn-lt"/>
          </a:endParaRPr>
        </a:p>
        <a:p>
          <a:pPr algn="l"/>
          <a:endParaRPr lang="en-US" sz="1200" baseline="0">
            <a:latin typeface="+mn-lt"/>
          </a:endParaRPr>
        </a:p>
        <a:p>
          <a:pPr algn="l"/>
          <a:r>
            <a:rPr lang="en-US" sz="1200" baseline="0">
              <a:latin typeface="+mn-lt"/>
            </a:rPr>
            <a:t>6. PERFORMANCE BY PRODUCT CATEGORY</a:t>
          </a:r>
        </a:p>
        <a:p>
          <a:pPr algn="l"/>
          <a:endParaRPr lang="en-US" sz="1200" baseline="0">
            <a:latin typeface="+mn-lt"/>
          </a:endParaRPr>
        </a:p>
        <a:p>
          <a:r>
            <a:rPr lang="en-US" sz="1200" b="0" baseline="0">
              <a:solidFill>
                <a:schemeClr val="lt1"/>
              </a:solidFill>
              <a:effectLst/>
              <a:latin typeface="+mn-lt"/>
              <a:ea typeface="+mn-ea"/>
              <a:cs typeface="+mn-cs"/>
            </a:rPr>
            <a:t>This analysis is expected to show the sales pattern of products by category. It is meant to show each product Category sales revenue, and aswell understand how it is affected.</a:t>
          </a:r>
          <a:endParaRPr lang="en-US" sz="1200">
            <a:effectLst/>
            <a:latin typeface="+mn-lt"/>
          </a:endParaRPr>
        </a:p>
        <a:p>
          <a:r>
            <a:rPr lang="en-US" sz="1200" b="0" baseline="0">
              <a:solidFill>
                <a:schemeClr val="lt1"/>
              </a:solidFill>
              <a:effectLst/>
              <a:latin typeface="+mn-lt"/>
              <a:ea typeface="+mn-ea"/>
              <a:cs typeface="+mn-cs"/>
            </a:rPr>
            <a:t>Metrics: The two metrics in achieveing this are PRODUCT-CATEGORY X REVENUE</a:t>
          </a:r>
          <a:endParaRPr lang="en-US" sz="1200">
            <a:effectLst/>
            <a:latin typeface="+mn-lt"/>
          </a:endParaRPr>
        </a:p>
        <a:p>
          <a:r>
            <a:rPr lang="en-US" sz="1200" b="0" baseline="0">
              <a:solidFill>
                <a:schemeClr val="lt1"/>
              </a:solidFill>
              <a:effectLst/>
              <a:latin typeface="+mn-lt"/>
              <a:ea typeface="+mn-ea"/>
              <a:cs typeface="+mn-cs"/>
            </a:rPr>
            <a:t>Insights: More than 7 different products categories are identified in the data set. Each product categories contribute to the overall reveneue of the company, our requiement is to find which product category contributes more to the growth of the the company</a:t>
          </a:r>
          <a:endParaRPr lang="en-US" sz="1200">
            <a:effectLst/>
            <a:latin typeface="+mn-lt"/>
          </a:endParaRPr>
        </a:p>
        <a:p>
          <a:pPr algn="l"/>
          <a:endParaRPr lang="en-US" sz="1200" baseline="0">
            <a:latin typeface="+mn-lt"/>
          </a:endParaRPr>
        </a:p>
        <a:p>
          <a:pPr algn="l"/>
          <a:endParaRPr lang="en-US" sz="1200" baseline="0">
            <a:latin typeface="+mn-lt"/>
          </a:endParaRPr>
        </a:p>
        <a:p>
          <a:pPr algn="l"/>
          <a:endParaRPr lang="en-US" sz="1200" baseline="0">
            <a:latin typeface="+mn-lt"/>
          </a:endParaRPr>
        </a:p>
        <a:p>
          <a:pPr algn="l"/>
          <a:r>
            <a:rPr lang="en-US" sz="1200" baseline="0">
              <a:latin typeface="+mn-lt"/>
            </a:rPr>
            <a:t>7. SHIP CITIES PERFORMANCE BY REVENUE</a:t>
          </a:r>
        </a:p>
        <a:p>
          <a:pPr algn="l"/>
          <a:endParaRPr lang="en-US" sz="1200" baseline="0">
            <a:latin typeface="+mn-lt"/>
          </a:endParaRPr>
        </a:p>
        <a:p>
          <a:r>
            <a:rPr lang="en-US" sz="1200" b="0" baseline="0">
              <a:solidFill>
                <a:schemeClr val="lt1"/>
              </a:solidFill>
              <a:effectLst/>
              <a:latin typeface="+mn-lt"/>
              <a:ea typeface="+mn-ea"/>
              <a:cs typeface="+mn-cs"/>
            </a:rPr>
            <a:t>This analysis is expected to show the top 6 ciities in USA identified in the data set, that contributes the most to the growth of the company revenue over time. </a:t>
          </a:r>
          <a:endParaRPr lang="en-US" sz="1200">
            <a:effectLst/>
            <a:latin typeface="+mn-lt"/>
          </a:endParaRPr>
        </a:p>
        <a:p>
          <a:r>
            <a:rPr lang="en-US" sz="1200" b="0" baseline="0">
              <a:solidFill>
                <a:schemeClr val="lt1"/>
              </a:solidFill>
              <a:effectLst/>
              <a:latin typeface="+mn-lt"/>
              <a:ea typeface="+mn-ea"/>
              <a:cs typeface="+mn-cs"/>
            </a:rPr>
            <a:t>Metrics: The metrics applied for the success of this analysis is matching SHIP-CITIES X REVENUE</a:t>
          </a:r>
          <a:endParaRPr lang="en-US" sz="1200">
            <a:effectLst/>
            <a:latin typeface="+mn-lt"/>
          </a:endParaRPr>
        </a:p>
        <a:p>
          <a:r>
            <a:rPr lang="en-US" sz="1200" b="0" baseline="0">
              <a:solidFill>
                <a:schemeClr val="lt1"/>
              </a:solidFill>
              <a:effectLst/>
              <a:latin typeface="+mn-lt"/>
              <a:ea typeface="+mn-ea"/>
              <a:cs typeface="+mn-cs"/>
            </a:rPr>
            <a:t>Insights: More than 10 cities are identified in the data set, Shippment from this cities were recorded over time i.e January to December.</a:t>
          </a:r>
          <a:endParaRPr lang="en-US" sz="1200">
            <a:effectLst/>
            <a:latin typeface="+mn-lt"/>
          </a:endParaRPr>
        </a:p>
        <a:p>
          <a:pPr algn="l"/>
          <a:endParaRPr lang="en-US" sz="1200" baseline="0">
            <a:latin typeface="+mn-lt"/>
          </a:endParaRPr>
        </a:p>
        <a:p>
          <a:pPr algn="l"/>
          <a:endParaRPr lang="en-US" sz="1200" baseline="0">
            <a:latin typeface="+mn-lt"/>
          </a:endParaRPr>
        </a:p>
        <a:p>
          <a:pPr algn="l"/>
          <a:r>
            <a:rPr lang="en-US" sz="1200" baseline="0">
              <a:latin typeface="+mn-lt"/>
            </a:rPr>
            <a:t>8. STATE PERFORMANCE BY REVENUE</a:t>
          </a:r>
        </a:p>
        <a:p>
          <a:pPr algn="l"/>
          <a:endParaRPr lang="en-US" sz="1200" baseline="0">
            <a:latin typeface="+mn-lt"/>
          </a:endParaRPr>
        </a:p>
        <a:p>
          <a:pPr algn="l"/>
          <a:r>
            <a:rPr lang="en-US" sz="1200" baseline="0">
              <a:latin typeface="+mn-lt"/>
            </a:rPr>
            <a:t>- This analysis is expected to show the level of output coming ftom each state.</a:t>
          </a:r>
        </a:p>
        <a:p>
          <a:pPr algn="l"/>
          <a:endParaRPr lang="en-US" sz="1200" baseline="0">
            <a:latin typeface="+mn-lt"/>
          </a:endParaRPr>
        </a:p>
        <a:p>
          <a:pPr algn="l"/>
          <a:r>
            <a:rPr lang="en-US" sz="1200" baseline="0">
              <a:latin typeface="+mn-lt"/>
            </a:rPr>
            <a:t>-Metrics: This analysis can be completed by matching State to revenue, this will show each individual contribution of each state.</a:t>
          </a:r>
        </a:p>
        <a:p>
          <a:pPr algn="l"/>
          <a:endParaRPr lang="en-US" sz="1200" baseline="0">
            <a:latin typeface="+mn-lt"/>
          </a:endParaRPr>
        </a:p>
        <a:p>
          <a:pPr algn="l"/>
          <a:r>
            <a:rPr lang="en-US" sz="1200" baseline="0">
              <a:latin typeface="+mn-lt"/>
            </a:rPr>
            <a:t>-Insights: More than 10 cities are recorded in the data set from the whole regions north, south, east and West.</a:t>
          </a:r>
        </a:p>
        <a:p>
          <a:pPr algn="l"/>
          <a:endParaRPr lang="en-US" sz="1200" baseline="0">
            <a:latin typeface="+mn-lt"/>
          </a:endParaRPr>
        </a:p>
        <a:p>
          <a:pPr algn="l"/>
          <a:endParaRPr lang="en-US" sz="1200" baseline="0">
            <a:latin typeface="+mn-lt"/>
          </a:endParaRPr>
        </a:p>
        <a:p>
          <a:pPr algn="l"/>
          <a:endParaRPr lang="en-US" sz="1200" baseline="0">
            <a:latin typeface="+mn-lt"/>
          </a:endParaRPr>
        </a:p>
        <a:p>
          <a:pPr algn="l"/>
          <a:endParaRPr lang="en-US" sz="1200" baseline="0">
            <a:latin typeface="+mn-lt"/>
          </a:endParaRPr>
        </a:p>
        <a:p>
          <a:r>
            <a:rPr lang="en-US" sz="1200" b="0" baseline="0">
              <a:solidFill>
                <a:schemeClr val="lt1"/>
              </a:solidFill>
              <a:effectLst/>
              <a:latin typeface="+mn-lt"/>
              <a:ea typeface="+mn-ea"/>
              <a:cs typeface="+mn-cs"/>
            </a:rPr>
            <a:t>9. TRANSACTION BY AMOUNT</a:t>
          </a:r>
          <a:endParaRPr lang="en-US" sz="1200">
            <a:effectLst/>
            <a:latin typeface="+mn-lt"/>
          </a:endParaRPr>
        </a:p>
        <a:p>
          <a:r>
            <a:rPr lang="en-US" sz="1200" b="0" baseline="0">
              <a:solidFill>
                <a:schemeClr val="lt1"/>
              </a:solidFill>
              <a:effectLst/>
              <a:latin typeface="+mn-lt"/>
              <a:ea typeface="+mn-ea"/>
              <a:cs typeface="+mn-cs"/>
            </a:rPr>
            <a:t>Focus: For this task we are expected to fine tune the count of transactions amount, to be able to spot out the number of occurance or rather the amount of times a similar transaction occured.</a:t>
          </a:r>
          <a:endParaRPr lang="en-US" sz="1200">
            <a:effectLst/>
            <a:latin typeface="+mn-lt"/>
          </a:endParaRPr>
        </a:p>
        <a:p>
          <a:pPr eaLnBrk="1" fontAlgn="auto" latinLnBrk="0" hangingPunct="1"/>
          <a:r>
            <a:rPr lang="en-US" sz="1200" b="0" baseline="0">
              <a:solidFill>
                <a:schemeClr val="lt1"/>
              </a:solidFill>
              <a:effectLst/>
              <a:latin typeface="+mn-lt"/>
              <a:ea typeface="+mn-ea"/>
              <a:cs typeface="+mn-cs"/>
            </a:rPr>
            <a:t>Objective: </a:t>
          </a:r>
          <a:r>
            <a:rPr lang="en-US" sz="1200">
              <a:solidFill>
                <a:schemeClr val="lt1"/>
              </a:solidFill>
              <a:effectLst/>
              <a:latin typeface="+mn-lt"/>
              <a:ea typeface="+mn-ea"/>
              <a:cs typeface="+mn-cs"/>
            </a:rPr>
            <a:t>The objective is to understand customer purchasing behavior, transaction frequency across price bands, and revenue structure.</a:t>
          </a:r>
          <a:endParaRPr lang="en-US" sz="1200">
            <a:effectLst/>
            <a:latin typeface="+mn-lt"/>
          </a:endParaRPr>
        </a:p>
        <a:p>
          <a:r>
            <a:rPr lang="en-US" sz="1200" b="0" baseline="0">
              <a:solidFill>
                <a:schemeClr val="lt1"/>
              </a:solidFill>
              <a:effectLst/>
              <a:latin typeface="+mn-lt"/>
              <a:ea typeface="+mn-ea"/>
              <a:cs typeface="+mn-cs"/>
            </a:rPr>
            <a:t>Metrics:  To get this done we match Revenue to Revenu [count]</a:t>
          </a:r>
          <a:endParaRPr lang="en-US" sz="1200">
            <a:effectLst/>
            <a:latin typeface="+mn-lt"/>
          </a:endParaRPr>
        </a:p>
        <a:p>
          <a:pPr algn="l"/>
          <a:endParaRPr lang="en-US" sz="1200" baseline="0">
            <a:latin typeface="+mn-lt"/>
          </a:endParaRPr>
        </a:p>
        <a:p>
          <a:pPr algn="l"/>
          <a:endParaRPr lang="en-US" sz="1200" baseline="0">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966127</xdr:colOff>
      <xdr:row>44</xdr:row>
      <xdr:rowOff>82825</xdr:rowOff>
    </xdr:from>
    <xdr:to>
      <xdr:col>10</xdr:col>
      <xdr:colOff>243562</xdr:colOff>
      <xdr:row>52</xdr:row>
      <xdr:rowOff>95685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223668</xdr:colOff>
      <xdr:row>91</xdr:row>
      <xdr:rowOff>105832</xdr:rowOff>
    </xdr:from>
    <xdr:to>
      <xdr:col>19</xdr:col>
      <xdr:colOff>388055</xdr:colOff>
      <xdr:row>106</xdr:row>
      <xdr:rowOff>56926</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303509</xdr:colOff>
      <xdr:row>113</xdr:row>
      <xdr:rowOff>51519</xdr:rowOff>
    </xdr:from>
    <xdr:to>
      <xdr:col>16</xdr:col>
      <xdr:colOff>62334</xdr:colOff>
      <xdr:row>134</xdr:row>
      <xdr:rowOff>79952</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358109" y="20631869"/>
              <a:ext cx="5854825" cy="389558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1035515</xdr:colOff>
      <xdr:row>65</xdr:row>
      <xdr:rowOff>178565</xdr:rowOff>
    </xdr:from>
    <xdr:to>
      <xdr:col>11</xdr:col>
      <xdr:colOff>207819</xdr:colOff>
      <xdr:row>80</xdr:row>
      <xdr:rowOff>23092</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1062182</xdr:colOff>
      <xdr:row>139</xdr:row>
      <xdr:rowOff>172850</xdr:rowOff>
    </xdr:from>
    <xdr:to>
      <xdr:col>14</xdr:col>
      <xdr:colOff>542636</xdr:colOff>
      <xdr:row>154</xdr:row>
      <xdr:rowOff>34637</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356127</xdr:colOff>
      <xdr:row>188</xdr:row>
      <xdr:rowOff>153237</xdr:rowOff>
    </xdr:from>
    <xdr:to>
      <xdr:col>10</xdr:col>
      <xdr:colOff>364192</xdr:colOff>
      <xdr:row>204</xdr:row>
      <xdr:rowOff>28015</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565880</xdr:colOff>
      <xdr:row>165</xdr:row>
      <xdr:rowOff>18823</xdr:rowOff>
    </xdr:from>
    <xdr:to>
      <xdr:col>16</xdr:col>
      <xdr:colOff>28222</xdr:colOff>
      <xdr:row>182</xdr:row>
      <xdr:rowOff>70556</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931335</xdr:colOff>
      <xdr:row>22</xdr:row>
      <xdr:rowOff>28222</xdr:rowOff>
    </xdr:from>
    <xdr:to>
      <xdr:col>11</xdr:col>
      <xdr:colOff>531092</xdr:colOff>
      <xdr:row>38</xdr:row>
      <xdr:rowOff>161637</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811388</xdr:colOff>
      <xdr:row>3</xdr:row>
      <xdr:rowOff>46564</xdr:rowOff>
    </xdr:from>
    <xdr:to>
      <xdr:col>11</xdr:col>
      <xdr:colOff>554182</xdr:colOff>
      <xdr:row>17</xdr:row>
      <xdr:rowOff>0</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342194</xdr:colOff>
      <xdr:row>91</xdr:row>
      <xdr:rowOff>114475</xdr:rowOff>
    </xdr:from>
    <xdr:to>
      <xdr:col>11</xdr:col>
      <xdr:colOff>134056</xdr:colOff>
      <xdr:row>106</xdr:row>
      <xdr:rowOff>79550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00000000-0008-0000-0400-00000D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656894" y="16643525"/>
              <a:ext cx="4579762" cy="27273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127484</xdr:colOff>
      <xdr:row>117</xdr:row>
      <xdr:rowOff>127891</xdr:rowOff>
    </xdr:from>
    <xdr:to>
      <xdr:col>24</xdr:col>
      <xdr:colOff>429558</xdr:colOff>
      <xdr:row>125</xdr:row>
      <xdr:rowOff>168089</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D1BDE88B-2A18-4800-AEA2-1CF87EEB02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4141934" y="21444841"/>
              <a:ext cx="2740474" cy="151339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0</xdr:rowOff>
    </xdr:from>
    <xdr:to>
      <xdr:col>23</xdr:col>
      <xdr:colOff>36020</xdr:colOff>
      <xdr:row>118</xdr:row>
      <xdr:rowOff>143387</xdr:rowOff>
    </xdr:to>
    <xdr:sp macro="" textlink="">
      <xdr:nvSpPr>
        <xdr:cNvPr id="5" name="Rectangle: Rounded Corners 4">
          <a:extLst>
            <a:ext uri="{FF2B5EF4-FFF2-40B4-BE49-F238E27FC236}">
              <a16:creationId xmlns:a16="http://schemas.microsoft.com/office/drawing/2014/main" id="{00000000-0008-0000-0500-000005000000}"/>
            </a:ext>
          </a:extLst>
        </xdr:cNvPr>
        <xdr:cNvSpPr/>
      </xdr:nvSpPr>
      <xdr:spPr>
        <a:xfrm>
          <a:off x="614516" y="368710"/>
          <a:ext cx="13555375" cy="21528548"/>
        </a:xfrm>
        <a:prstGeom prst="roundRect">
          <a:avLst>
            <a:gd name="adj" fmla="val 5238"/>
          </a:avLst>
        </a:prstGeom>
        <a:solidFill>
          <a:srgbClr val="4472C4">
            <a:lumMod val="75000"/>
          </a:srgbClr>
        </a:solid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OBSERVATIONS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1. SALES TREND REPORT</a:t>
          </a: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The sales trend visualization shows </a:t>
          </a: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clear variation in revenue across different months</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December recorded the highest revenue</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amounting to </a:t>
          </a: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$66,642.78</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indicating a strong peak toward the end of the year.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February recorded the lowest revenue</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at </a:t>
          </a: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$19,985.00</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reflecting a significant drop compared to other months.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Revenue performance during the </a:t>
          </a: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mid-year period remained strong</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with sales reaching approximately </a:t>
          </a: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$55,601.65</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suggesting stable demand during this period.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The high revenue recorded in December may be attributed to </a:t>
          </a: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seasonal demand, holiday-related spending, year-end promotions, or increased customer purchasing activity</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The low revenue observed in February could be linked to </a:t>
          </a: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post-holiday spending slowdowns, reduced consumer demand, or fewer promotional activities</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Overall, the visualization confirms a </a:t>
          </a: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positive revenue trend toward the later part of the year</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with noticeable seasonal effects influencing sales performance.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2. TOP 10 CUSTOMERS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The analysis identifies a </a:t>
          </a: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clear concentration of revenue among the top 10 customers</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indicating their strategic importance to overall company performance.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Revenue contribution among these customers ranges from </a:t>
          </a: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$21,937.08 to $67,180.50</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showing a wide spread in customer value.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The </a:t>
          </a: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highest-performing customer generated $67,180.50</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significantly outperforming other top customers and standing out as a key revenue driver.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Several customers contributed revenues above </a:t>
          </a: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$40,000</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reflecting a strong base of high-value accounts.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The gradual increase in revenue figures across the top 10 customers suggests </a:t>
          </a: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consistent and scalable customer engagement</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rather than reliance on a single customer alone.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While revenue is diversified within the top tier, the gap between the highest contributor and the lower end of the top 10 highlights a </a:t>
          </a: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potential revenue dependency risk</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Overall, the visualization confirms that </a:t>
          </a: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maintaining and expanding relationships with these top customers is critical</a:t>
          </a: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to sustaining revenue growth and business stability.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3. Sales By Rep</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Insights-</a:t>
          </a: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-8 active sals person were identified in the data set, hence...the companies has in it record 8 active employees handling sales for them.</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-Each of the 8 employees brought about sales worth more than $15000 which is a sum total of active sales activity from january to december 2014.</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-Nancy Freehafer had the top sales performance with a total revenue generation of about $104,252, which was 5 times greater than the sales performance of the last identified JanKotas. this may influenced by alot of different factors not limited to region, city, product type and category and aswell the cost od shipping this products.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-It is advisable to understand the pattern of which product is demanded in respect to cities and regions.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4. Sales By Region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Insights-</a:t>
          </a: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Only Four Regions were identified in the data set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All four regions contributed more than $90,000 which actively shows that the are doing well</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The top most performing region was the North which has a total revenue generation of $141,680. This amount dominated 32% of the total revenue of the company with other regions holding below 26%.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The South and West region had 22% and 21% respectively, this shows  little shift/differences in the percentage which the contributed hence the slight difference may be as a result of a micro factors not particularly stated in the report</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5. TOP 5 CITIES BY REVENUE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-The chart shows revenue peformance of the top 5 cities in the data set,  New York has the highest contribution with about $67,180 revenue generated, Portland was the second highest revenue contributors with about $50,208.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-A key insights noticeable is that New yorl outperforms all other cities, generating 34% more revenue than the next highest cities Portland and Miami, hence New york is likely the primary revenue driver which may be because of it strategic market.</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Chicago and Memphis are underperforming, however the gap between Chicago and New York is over $26,000 which is a substantial value.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Revenue is concentrated in one major city (New York) this can be considered a huge business risk, hence we should consider diversifying.</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6. PERFORMANCE BY PRODUCT CATEGORY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This chart presents revenue performance by product category, highlighting how each category contributes to total sales. Beverages  recorded the highest contribution with about $110,577 outperformign all other categories. Mathematically the revenue generated from beverages alone exceeds the revenue of the bottom two categories ( Dairy Products and Dried fruits &amp; Nuts)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Diary products and Dried fruits &amp; Nuts generated the lowest Revenue $33,129 and $27,999</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There is a sharp revenue decline from beverages ($110.6) to Sauces ($69.0k). This gap sugggest that while Beverages are well established, other categories are not fully optimuized.</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Growth opportunity is possible within the other tier categories we just need higher investment in them.</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7. SHIP CITIES PERFORMANCE BY REVENUE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This analysis  shows the revenue contribution across the top six shipping cities Chicago, Memphis, Miami, Milwaukee, New York, and Portland. The key singhts shows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New York contributes the largest share of shiipping revenue, clearly standing out from the rest. Its revenue significantly higher than evey other city, incdicating strong order volume, high value shipping or both.</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Miami and Portland forms a strong second tier each generating hust over $50,000, these two cities together rival New Yorks contribution, suggesting multiple viable revenue center than complete dependence on one city.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Milwauekee records the lowest revenue among the six cities. The gap between Milwaukee and New York is pronounced, pointing to possible limitations in shipment volume, customer base or logistical reach.</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Revenue is not evenly distributed across all states, it is overly concentrated in one city.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There is growth potential in the second and third cities if operational or marketing constraints are addressed.</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8. STATE PERFORMANCE BY REVENUE</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This analysis shows the revenue generated from each state.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12 States were identified in the data set</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New York recorded the highest revenue generated with $67,180</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Las Vegas recorded the lowest revenue generated with $15,365</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All State generated more than $15000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9. TRANSACTION BY AMOUNT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This chart illustrates the distribution of transactions by transaction amount, grouped into value ranges.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ysClr val="window" lastClr="FFFFFF"/>
              </a:solidFill>
              <a:effectLst/>
              <a:uLnTx/>
              <a:uFillTx/>
              <a:latin typeface="Calibri" panose="020F0502020204030204"/>
              <a:ea typeface="+mn-ea"/>
              <a:cs typeface="+mn-cs"/>
            </a:rPr>
            <a:t>INSIGHTS</a:t>
          </a: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1. Strong Concentration in Low-Value Transactions: The $10–1,010 range dominates transaction volume, with a very large number of transactions compared to all other ranges.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indicating- Most customers are making small-value purchases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2. There is a steep decline in transaction counts once amounts exceed $1,010. $1,010–2,010 shows moderate activity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indicating- A highly skewed transaction distribution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3. Revenue is likely being driven by volume rather than high-value deals or most expensive products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4. Heavy reliance on low-value, high-frequency transactions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5. Products are priced affordably or sold in small units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rPr>
            <a:t>6. The transaction distribution shows that the business currently thrives on many small purchases rather than few large ones.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129113</xdr:colOff>
      <xdr:row>0</xdr:row>
      <xdr:rowOff>32382</xdr:rowOff>
    </xdr:from>
    <xdr:to>
      <xdr:col>31</xdr:col>
      <xdr:colOff>218972</xdr:colOff>
      <xdr:row>43</xdr:row>
      <xdr:rowOff>69508</xdr:rowOff>
    </xdr:to>
    <xdr:sp macro="" textlink="">
      <xdr:nvSpPr>
        <xdr:cNvPr id="2" name="Rectangle: Rounded Corners 1">
          <a:extLst>
            <a:ext uri="{FF2B5EF4-FFF2-40B4-BE49-F238E27FC236}">
              <a16:creationId xmlns:a16="http://schemas.microsoft.com/office/drawing/2014/main" id="{00000000-0008-0000-0600-000002000000}"/>
            </a:ext>
          </a:extLst>
        </xdr:cNvPr>
        <xdr:cNvSpPr/>
      </xdr:nvSpPr>
      <xdr:spPr>
        <a:xfrm>
          <a:off x="129113" y="32382"/>
          <a:ext cx="19096066" cy="8040316"/>
        </a:xfrm>
        <a:prstGeom prst="roundRect">
          <a:avLst>
            <a:gd name="adj" fmla="val 217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218967</xdr:colOff>
      <xdr:row>1</xdr:row>
      <xdr:rowOff>43793</xdr:rowOff>
    </xdr:from>
    <xdr:to>
      <xdr:col>2</xdr:col>
      <xdr:colOff>383191</xdr:colOff>
      <xdr:row>42</xdr:row>
      <xdr:rowOff>109483</xdr:rowOff>
    </xdr:to>
    <xdr:sp macro="" textlink="">
      <xdr:nvSpPr>
        <xdr:cNvPr id="3" name="Rectangle: Rounded Corners 2">
          <a:extLst>
            <a:ext uri="{FF2B5EF4-FFF2-40B4-BE49-F238E27FC236}">
              <a16:creationId xmlns:a16="http://schemas.microsoft.com/office/drawing/2014/main" id="{00000000-0008-0000-0600-000003000000}"/>
            </a:ext>
          </a:extLst>
        </xdr:cNvPr>
        <xdr:cNvSpPr/>
      </xdr:nvSpPr>
      <xdr:spPr>
        <a:xfrm>
          <a:off x="218967" y="229914"/>
          <a:ext cx="1390431" cy="7696638"/>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491796</xdr:colOff>
      <xdr:row>4</xdr:row>
      <xdr:rowOff>52991</xdr:rowOff>
    </xdr:from>
    <xdr:to>
      <xdr:col>6</xdr:col>
      <xdr:colOff>164222</xdr:colOff>
      <xdr:row>9</xdr:row>
      <xdr:rowOff>31969</xdr:rowOff>
    </xdr:to>
    <xdr:sp macro="" textlink="">
      <xdr:nvSpPr>
        <xdr:cNvPr id="4" name="Rectangle: Rounded Corners 3">
          <a:extLst>
            <a:ext uri="{FF2B5EF4-FFF2-40B4-BE49-F238E27FC236}">
              <a16:creationId xmlns:a16="http://schemas.microsoft.com/office/drawing/2014/main" id="{00000000-0008-0000-0600-000004000000}"/>
            </a:ext>
          </a:extLst>
        </xdr:cNvPr>
        <xdr:cNvSpPr/>
      </xdr:nvSpPr>
      <xdr:spPr>
        <a:xfrm>
          <a:off x="1712950" y="785683"/>
          <a:ext cx="2114734" cy="894844"/>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398703</xdr:colOff>
      <xdr:row>4</xdr:row>
      <xdr:rowOff>52991</xdr:rowOff>
    </xdr:from>
    <xdr:to>
      <xdr:col>10</xdr:col>
      <xdr:colOff>73656</xdr:colOff>
      <xdr:row>9</xdr:row>
      <xdr:rowOff>31969</xdr:rowOff>
    </xdr:to>
    <xdr:sp macro="" textlink="">
      <xdr:nvSpPr>
        <xdr:cNvPr id="5" name="Rectangle: Rounded Corners 4">
          <a:extLst>
            <a:ext uri="{FF2B5EF4-FFF2-40B4-BE49-F238E27FC236}">
              <a16:creationId xmlns:a16="http://schemas.microsoft.com/office/drawing/2014/main" id="{00000000-0008-0000-0600-000005000000}"/>
            </a:ext>
          </a:extLst>
        </xdr:cNvPr>
        <xdr:cNvSpPr/>
      </xdr:nvSpPr>
      <xdr:spPr>
        <a:xfrm>
          <a:off x="4062165" y="785683"/>
          <a:ext cx="2117260" cy="894844"/>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308137</xdr:colOff>
      <xdr:row>4</xdr:row>
      <xdr:rowOff>52991</xdr:rowOff>
    </xdr:from>
    <xdr:to>
      <xdr:col>13</xdr:col>
      <xdr:colOff>593666</xdr:colOff>
      <xdr:row>9</xdr:row>
      <xdr:rowOff>31969</xdr:rowOff>
    </xdr:to>
    <xdr:sp macro="" textlink="">
      <xdr:nvSpPr>
        <xdr:cNvPr id="6" name="Rectangle: Rounded Corners 5">
          <a:extLst>
            <a:ext uri="{FF2B5EF4-FFF2-40B4-BE49-F238E27FC236}">
              <a16:creationId xmlns:a16="http://schemas.microsoft.com/office/drawing/2014/main" id="{00000000-0008-0000-0600-000006000000}"/>
            </a:ext>
          </a:extLst>
        </xdr:cNvPr>
        <xdr:cNvSpPr/>
      </xdr:nvSpPr>
      <xdr:spPr>
        <a:xfrm>
          <a:off x="6413906" y="785683"/>
          <a:ext cx="2117260" cy="894844"/>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217570</xdr:colOff>
      <xdr:row>4</xdr:row>
      <xdr:rowOff>52991</xdr:rowOff>
    </xdr:from>
    <xdr:to>
      <xdr:col>17</xdr:col>
      <xdr:colOff>503099</xdr:colOff>
      <xdr:row>9</xdr:row>
      <xdr:rowOff>31969</xdr:rowOff>
    </xdr:to>
    <xdr:sp macro="" textlink="">
      <xdr:nvSpPr>
        <xdr:cNvPr id="7" name="Rectangle: Rounded Corners 6">
          <a:extLst>
            <a:ext uri="{FF2B5EF4-FFF2-40B4-BE49-F238E27FC236}">
              <a16:creationId xmlns:a16="http://schemas.microsoft.com/office/drawing/2014/main" id="{00000000-0008-0000-0600-000007000000}"/>
            </a:ext>
          </a:extLst>
        </xdr:cNvPr>
        <xdr:cNvSpPr/>
      </xdr:nvSpPr>
      <xdr:spPr>
        <a:xfrm>
          <a:off x="8765647" y="785683"/>
          <a:ext cx="2117260" cy="894844"/>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127002</xdr:colOff>
      <xdr:row>4</xdr:row>
      <xdr:rowOff>52991</xdr:rowOff>
    </xdr:from>
    <xdr:to>
      <xdr:col>21</xdr:col>
      <xdr:colOff>412532</xdr:colOff>
      <xdr:row>9</xdr:row>
      <xdr:rowOff>31969</xdr:rowOff>
    </xdr:to>
    <xdr:sp macro="" textlink="">
      <xdr:nvSpPr>
        <xdr:cNvPr id="8" name="Rectangle: Rounded Corners 7">
          <a:extLst>
            <a:ext uri="{FF2B5EF4-FFF2-40B4-BE49-F238E27FC236}">
              <a16:creationId xmlns:a16="http://schemas.microsoft.com/office/drawing/2014/main" id="{00000000-0008-0000-0600-000008000000}"/>
            </a:ext>
          </a:extLst>
        </xdr:cNvPr>
        <xdr:cNvSpPr/>
      </xdr:nvSpPr>
      <xdr:spPr>
        <a:xfrm>
          <a:off x="11117387" y="785683"/>
          <a:ext cx="2117260" cy="894844"/>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501866</xdr:colOff>
      <xdr:row>1</xdr:row>
      <xdr:rowOff>76638</xdr:rowOff>
    </xdr:from>
    <xdr:to>
      <xdr:col>15</xdr:col>
      <xdr:colOff>317496</xdr:colOff>
      <xdr:row>3</xdr:row>
      <xdr:rowOff>76638</xdr:rowOff>
    </xdr:to>
    <xdr:sp macro="" textlink="">
      <xdr:nvSpPr>
        <xdr:cNvPr id="9" name="Rectangle: Rounded Corners 8">
          <a:extLst>
            <a:ext uri="{FF2B5EF4-FFF2-40B4-BE49-F238E27FC236}">
              <a16:creationId xmlns:a16="http://schemas.microsoft.com/office/drawing/2014/main" id="{00000000-0008-0000-0600-000009000000}"/>
            </a:ext>
          </a:extLst>
        </xdr:cNvPr>
        <xdr:cNvSpPr/>
      </xdr:nvSpPr>
      <xdr:spPr>
        <a:xfrm>
          <a:off x="1728073" y="262759"/>
          <a:ext cx="7785975" cy="372241"/>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479096</xdr:colOff>
      <xdr:row>9</xdr:row>
      <xdr:rowOff>183495</xdr:rowOff>
    </xdr:from>
    <xdr:to>
      <xdr:col>8</xdr:col>
      <xdr:colOff>569310</xdr:colOff>
      <xdr:row>19</xdr:row>
      <xdr:rowOff>21896</xdr:rowOff>
    </xdr:to>
    <xdr:sp macro="" textlink="">
      <xdr:nvSpPr>
        <xdr:cNvPr id="10" name="Rectangle: Rounded Corners 9">
          <a:extLst>
            <a:ext uri="{FF2B5EF4-FFF2-40B4-BE49-F238E27FC236}">
              <a16:creationId xmlns:a16="http://schemas.microsoft.com/office/drawing/2014/main" id="{00000000-0008-0000-0600-00000A000000}"/>
            </a:ext>
          </a:extLst>
        </xdr:cNvPr>
        <xdr:cNvSpPr/>
      </xdr:nvSpPr>
      <xdr:spPr>
        <a:xfrm>
          <a:off x="1705303" y="1858581"/>
          <a:ext cx="3768835" cy="1699608"/>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84082</xdr:colOff>
      <xdr:row>9</xdr:row>
      <xdr:rowOff>182619</xdr:rowOff>
    </xdr:from>
    <xdr:to>
      <xdr:col>15</xdr:col>
      <xdr:colOff>174296</xdr:colOff>
      <xdr:row>19</xdr:row>
      <xdr:rowOff>21020</xdr:rowOff>
    </xdr:to>
    <xdr:sp macro="" textlink="">
      <xdr:nvSpPr>
        <xdr:cNvPr id="11" name="Rectangle: Rounded Corners 10">
          <a:extLst>
            <a:ext uri="{FF2B5EF4-FFF2-40B4-BE49-F238E27FC236}">
              <a16:creationId xmlns:a16="http://schemas.microsoft.com/office/drawing/2014/main" id="{00000000-0008-0000-0600-00000B000000}"/>
            </a:ext>
          </a:extLst>
        </xdr:cNvPr>
        <xdr:cNvSpPr/>
      </xdr:nvSpPr>
      <xdr:spPr>
        <a:xfrm>
          <a:off x="5602013" y="1857705"/>
          <a:ext cx="3768835" cy="1699608"/>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302171</xdr:colOff>
      <xdr:row>9</xdr:row>
      <xdr:rowOff>181742</xdr:rowOff>
    </xdr:from>
    <xdr:to>
      <xdr:col>31</xdr:col>
      <xdr:colOff>69695</xdr:colOff>
      <xdr:row>19</xdr:row>
      <xdr:rowOff>43792</xdr:rowOff>
    </xdr:to>
    <xdr:sp macro="" textlink="">
      <xdr:nvSpPr>
        <xdr:cNvPr id="12" name="Rectangle: Rounded Corners 11">
          <a:extLst>
            <a:ext uri="{FF2B5EF4-FFF2-40B4-BE49-F238E27FC236}">
              <a16:creationId xmlns:a16="http://schemas.microsoft.com/office/drawing/2014/main" id="{00000000-0008-0000-0600-00000C000000}"/>
            </a:ext>
          </a:extLst>
        </xdr:cNvPr>
        <xdr:cNvSpPr/>
      </xdr:nvSpPr>
      <xdr:spPr>
        <a:xfrm>
          <a:off x="9478695" y="1854425"/>
          <a:ext cx="9555817" cy="1720587"/>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38539</xdr:colOff>
      <xdr:row>4</xdr:row>
      <xdr:rowOff>102478</xdr:rowOff>
    </xdr:from>
    <xdr:to>
      <xdr:col>24</xdr:col>
      <xdr:colOff>481723</xdr:colOff>
      <xdr:row>6</xdr:row>
      <xdr:rowOff>42043</xdr:rowOff>
    </xdr:to>
    <xdr:sp macro="" textlink="">
      <xdr:nvSpPr>
        <xdr:cNvPr id="13" name="Rectangle: Rounded Corners 12">
          <a:extLst>
            <a:ext uri="{FF2B5EF4-FFF2-40B4-BE49-F238E27FC236}">
              <a16:creationId xmlns:a16="http://schemas.microsoft.com/office/drawing/2014/main" id="{00000000-0008-0000-0600-00000D000000}"/>
            </a:ext>
          </a:extLst>
        </xdr:cNvPr>
        <xdr:cNvSpPr/>
      </xdr:nvSpPr>
      <xdr:spPr>
        <a:xfrm>
          <a:off x="13471231" y="835170"/>
          <a:ext cx="1664338" cy="305911"/>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92404</xdr:colOff>
      <xdr:row>4</xdr:row>
      <xdr:rowOff>102478</xdr:rowOff>
    </xdr:from>
    <xdr:to>
      <xdr:col>27</xdr:col>
      <xdr:colOff>535588</xdr:colOff>
      <xdr:row>6</xdr:row>
      <xdr:rowOff>42043</xdr:rowOff>
    </xdr:to>
    <xdr:sp macro="" textlink="">
      <xdr:nvSpPr>
        <xdr:cNvPr id="14" name="Rectangle: Rounded Corners 13">
          <a:extLst>
            <a:ext uri="{FF2B5EF4-FFF2-40B4-BE49-F238E27FC236}">
              <a16:creationId xmlns:a16="http://schemas.microsoft.com/office/drawing/2014/main" id="{00000000-0008-0000-0600-00000E000000}"/>
            </a:ext>
          </a:extLst>
        </xdr:cNvPr>
        <xdr:cNvSpPr/>
      </xdr:nvSpPr>
      <xdr:spPr>
        <a:xfrm>
          <a:off x="15356827" y="835170"/>
          <a:ext cx="1664338" cy="305911"/>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146268</xdr:colOff>
      <xdr:row>4</xdr:row>
      <xdr:rowOff>102478</xdr:rowOff>
    </xdr:from>
    <xdr:to>
      <xdr:col>30</xdr:col>
      <xdr:colOff>589453</xdr:colOff>
      <xdr:row>6</xdr:row>
      <xdr:rowOff>42043</xdr:rowOff>
    </xdr:to>
    <xdr:sp macro="" textlink="">
      <xdr:nvSpPr>
        <xdr:cNvPr id="15" name="Rectangle: Rounded Corners 14">
          <a:extLst>
            <a:ext uri="{FF2B5EF4-FFF2-40B4-BE49-F238E27FC236}">
              <a16:creationId xmlns:a16="http://schemas.microsoft.com/office/drawing/2014/main" id="{00000000-0008-0000-0600-00000F000000}"/>
            </a:ext>
          </a:extLst>
        </xdr:cNvPr>
        <xdr:cNvSpPr/>
      </xdr:nvSpPr>
      <xdr:spPr>
        <a:xfrm>
          <a:off x="17242422" y="835170"/>
          <a:ext cx="1664339" cy="305911"/>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59560</xdr:colOff>
      <xdr:row>7</xdr:row>
      <xdr:rowOff>64825</xdr:rowOff>
    </xdr:from>
    <xdr:to>
      <xdr:col>24</xdr:col>
      <xdr:colOff>502744</xdr:colOff>
      <xdr:row>9</xdr:row>
      <xdr:rowOff>7337</xdr:rowOff>
    </xdr:to>
    <xdr:sp macro="" textlink="">
      <xdr:nvSpPr>
        <xdr:cNvPr id="16" name="Rectangle: Rounded Corners 15">
          <a:extLst>
            <a:ext uri="{FF2B5EF4-FFF2-40B4-BE49-F238E27FC236}">
              <a16:creationId xmlns:a16="http://schemas.microsoft.com/office/drawing/2014/main" id="{00000000-0008-0000-0600-000010000000}"/>
            </a:ext>
          </a:extLst>
        </xdr:cNvPr>
        <xdr:cNvSpPr/>
      </xdr:nvSpPr>
      <xdr:spPr>
        <a:xfrm>
          <a:off x="13481717" y="1372178"/>
          <a:ext cx="1663380" cy="316041"/>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107952</xdr:colOff>
      <xdr:row>7</xdr:row>
      <xdr:rowOff>63351</xdr:rowOff>
    </xdr:from>
    <xdr:to>
      <xdr:col>27</xdr:col>
      <xdr:colOff>551136</xdr:colOff>
      <xdr:row>9</xdr:row>
      <xdr:rowOff>5863</xdr:rowOff>
    </xdr:to>
    <xdr:sp macro="" textlink="">
      <xdr:nvSpPr>
        <xdr:cNvPr id="17" name="Rectangle: Rounded Corners 16">
          <a:extLst>
            <a:ext uri="{FF2B5EF4-FFF2-40B4-BE49-F238E27FC236}">
              <a16:creationId xmlns:a16="http://schemas.microsoft.com/office/drawing/2014/main" id="{00000000-0008-0000-0600-000011000000}"/>
            </a:ext>
          </a:extLst>
        </xdr:cNvPr>
        <xdr:cNvSpPr/>
      </xdr:nvSpPr>
      <xdr:spPr>
        <a:xfrm>
          <a:off x="15360403" y="1370704"/>
          <a:ext cx="1663380" cy="316041"/>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156344</xdr:colOff>
      <xdr:row>7</xdr:row>
      <xdr:rowOff>66298</xdr:rowOff>
    </xdr:from>
    <xdr:to>
      <xdr:col>30</xdr:col>
      <xdr:colOff>599529</xdr:colOff>
      <xdr:row>9</xdr:row>
      <xdr:rowOff>5863</xdr:rowOff>
    </xdr:to>
    <xdr:sp macro="" textlink="">
      <xdr:nvSpPr>
        <xdr:cNvPr id="18" name="Rectangle: Rounded Corners 17">
          <a:extLst>
            <a:ext uri="{FF2B5EF4-FFF2-40B4-BE49-F238E27FC236}">
              <a16:creationId xmlns:a16="http://schemas.microsoft.com/office/drawing/2014/main" id="{00000000-0008-0000-0600-000012000000}"/>
            </a:ext>
          </a:extLst>
        </xdr:cNvPr>
        <xdr:cNvSpPr/>
      </xdr:nvSpPr>
      <xdr:spPr>
        <a:xfrm>
          <a:off x="17252498" y="1348510"/>
          <a:ext cx="1664339" cy="305911"/>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487417</xdr:colOff>
      <xdr:row>19</xdr:row>
      <xdr:rowOff>180866</xdr:rowOff>
    </xdr:from>
    <xdr:to>
      <xdr:col>13</xdr:col>
      <xdr:colOff>558363</xdr:colOff>
      <xdr:row>30</xdr:row>
      <xdr:rowOff>21896</xdr:rowOff>
    </xdr:to>
    <xdr:sp macro="" textlink="">
      <xdr:nvSpPr>
        <xdr:cNvPr id="19" name="Rectangle: Rounded Corners 18">
          <a:extLst>
            <a:ext uri="{FF2B5EF4-FFF2-40B4-BE49-F238E27FC236}">
              <a16:creationId xmlns:a16="http://schemas.microsoft.com/office/drawing/2014/main" id="{00000000-0008-0000-0600-000013000000}"/>
            </a:ext>
          </a:extLst>
        </xdr:cNvPr>
        <xdr:cNvSpPr/>
      </xdr:nvSpPr>
      <xdr:spPr>
        <a:xfrm>
          <a:off x="1713624" y="3717159"/>
          <a:ext cx="6815084" cy="1888358"/>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475593</xdr:colOff>
      <xdr:row>30</xdr:row>
      <xdr:rowOff>164220</xdr:rowOff>
    </xdr:from>
    <xdr:to>
      <xdr:col>19</xdr:col>
      <xdr:colOff>240862</xdr:colOff>
      <xdr:row>42</xdr:row>
      <xdr:rowOff>142325</xdr:rowOff>
    </xdr:to>
    <xdr:sp macro="" textlink="">
      <xdr:nvSpPr>
        <xdr:cNvPr id="21" name="Rectangle: Rounded Corners 20">
          <a:extLst>
            <a:ext uri="{FF2B5EF4-FFF2-40B4-BE49-F238E27FC236}">
              <a16:creationId xmlns:a16="http://schemas.microsoft.com/office/drawing/2014/main" id="{00000000-0008-0000-0600-000015000000}"/>
            </a:ext>
          </a:extLst>
        </xdr:cNvPr>
        <xdr:cNvSpPr/>
      </xdr:nvSpPr>
      <xdr:spPr>
        <a:xfrm>
          <a:off x="1701800" y="5747841"/>
          <a:ext cx="10188028" cy="2211553"/>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92402</xdr:colOff>
      <xdr:row>20</xdr:row>
      <xdr:rowOff>4816</xdr:rowOff>
    </xdr:from>
    <xdr:to>
      <xdr:col>22</xdr:col>
      <xdr:colOff>383189</xdr:colOff>
      <xdr:row>30</xdr:row>
      <xdr:rowOff>10948</xdr:rowOff>
    </xdr:to>
    <xdr:sp macro="" textlink="">
      <xdr:nvSpPr>
        <xdr:cNvPr id="22" name="Rectangle: Rounded Corners 21">
          <a:extLst>
            <a:ext uri="{FF2B5EF4-FFF2-40B4-BE49-F238E27FC236}">
              <a16:creationId xmlns:a16="http://schemas.microsoft.com/office/drawing/2014/main" id="{00000000-0008-0000-0600-000016000000}"/>
            </a:ext>
          </a:extLst>
        </xdr:cNvPr>
        <xdr:cNvSpPr/>
      </xdr:nvSpPr>
      <xdr:spPr>
        <a:xfrm>
          <a:off x="8675850" y="3727230"/>
          <a:ext cx="5195615" cy="1867339"/>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452820</xdr:colOff>
      <xdr:row>20</xdr:row>
      <xdr:rowOff>14889</xdr:rowOff>
    </xdr:from>
    <xdr:to>
      <xdr:col>31</xdr:col>
      <xdr:colOff>69695</xdr:colOff>
      <xdr:row>29</xdr:row>
      <xdr:rowOff>164225</xdr:rowOff>
    </xdr:to>
    <xdr:sp macro="" textlink="">
      <xdr:nvSpPr>
        <xdr:cNvPr id="28" name="Rectangle: Rounded Corners 27">
          <a:extLst>
            <a:ext uri="{FF2B5EF4-FFF2-40B4-BE49-F238E27FC236}">
              <a16:creationId xmlns:a16="http://schemas.microsoft.com/office/drawing/2014/main" id="{00000000-0008-0000-0600-00001C000000}"/>
            </a:ext>
          </a:extLst>
        </xdr:cNvPr>
        <xdr:cNvSpPr/>
      </xdr:nvSpPr>
      <xdr:spPr>
        <a:xfrm>
          <a:off x="13911722" y="3731962"/>
          <a:ext cx="5122790" cy="1822019"/>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295603</xdr:colOff>
      <xdr:row>30</xdr:row>
      <xdr:rowOff>163343</xdr:rowOff>
    </xdr:from>
    <xdr:to>
      <xdr:col>31</xdr:col>
      <xdr:colOff>87586</xdr:colOff>
      <xdr:row>42</xdr:row>
      <xdr:rowOff>141448</xdr:rowOff>
    </xdr:to>
    <xdr:sp macro="" textlink="">
      <xdr:nvSpPr>
        <xdr:cNvPr id="29" name="Rectangle: Rounded Corners 28">
          <a:extLst>
            <a:ext uri="{FF2B5EF4-FFF2-40B4-BE49-F238E27FC236}">
              <a16:creationId xmlns:a16="http://schemas.microsoft.com/office/drawing/2014/main" id="{00000000-0008-0000-0600-00001D000000}"/>
            </a:ext>
          </a:extLst>
        </xdr:cNvPr>
        <xdr:cNvSpPr/>
      </xdr:nvSpPr>
      <xdr:spPr>
        <a:xfrm>
          <a:off x="11944569" y="5746964"/>
          <a:ext cx="7149224" cy="2211553"/>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565150</xdr:colOff>
      <xdr:row>1</xdr:row>
      <xdr:rowOff>82548</xdr:rowOff>
    </xdr:from>
    <xdr:to>
      <xdr:col>14</xdr:col>
      <xdr:colOff>514047</xdr:colOff>
      <xdr:row>71</xdr:row>
      <xdr:rowOff>171349</xdr:rowOff>
    </xdr:to>
    <xdr:sp macro="" textlink="">
      <xdr:nvSpPr>
        <xdr:cNvPr id="2" name="TextBox 1">
          <a:extLst>
            <a:ext uri="{FF2B5EF4-FFF2-40B4-BE49-F238E27FC236}">
              <a16:creationId xmlns:a16="http://schemas.microsoft.com/office/drawing/2014/main" id="{8E9F179E-8120-4362-9972-BB668EBBB69B}"/>
            </a:ext>
          </a:extLst>
        </xdr:cNvPr>
        <xdr:cNvSpPr txBox="1"/>
      </xdr:nvSpPr>
      <xdr:spPr>
        <a:xfrm>
          <a:off x="565150" y="263977"/>
          <a:ext cx="8415564" cy="12788801"/>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Post Analysis</a:t>
          </a:r>
          <a:r>
            <a:rPr lang="en-US" sz="1100" baseline="0"/>
            <a:t> Observation</a:t>
          </a:r>
        </a:p>
        <a:p>
          <a:endParaRPr lang="en-US" sz="1100" baseline="0"/>
        </a:p>
        <a:p>
          <a:r>
            <a:rPr lang="en-US" sz="1100" baseline="0"/>
            <a:t>Focus 1:</a:t>
          </a:r>
        </a:p>
        <a:p>
          <a:r>
            <a:rPr lang="en-US" sz="1100" baseline="0"/>
            <a:t>SALES PERSONS</a:t>
          </a:r>
        </a:p>
        <a:p>
          <a:endParaRPr lang="en-US" sz="1100" baseline="0"/>
        </a:p>
        <a:p>
          <a:endParaRPr lang="en-US" sz="1100" baseline="0"/>
        </a:p>
        <a:p>
          <a:endParaRPr lang="en-US" sz="1100" baseline="0"/>
        </a:p>
        <a:p>
          <a:r>
            <a:rPr lang="en-US" sz="1100" baseline="0"/>
            <a:t>i. Andrew Cencini located in the north, had a total revenue generated oof $67,180.50. his Purchasing power is ranked fromJames,preserves, dried fruits, pasta grains and baked goods being the least product. His highest sales was recorded in the month of June and the lowest in the month of April, all other months were characterized by massive fluctions, hence there was no time record of steady growth. He supplied only to company D</a:t>
          </a:r>
        </a:p>
        <a:p>
          <a:endParaRPr lang="en-US" sz="1100" baseline="0"/>
        </a:p>
        <a:p>
          <a:endParaRPr lang="en-US" sz="1100" baseline="0"/>
        </a:p>
        <a:p>
          <a:r>
            <a:rPr lang="en-US" sz="1100" baseline="0"/>
            <a:t>ii. Anne Larsen: Supplied produce to Company BB, K, and Z. She is based in the south and her total sales revenue $93,858.33. He sold more of Beverages and canned meat recorded over $19,000, this value which is greater than the revenue from other produce</a:t>
          </a:r>
        </a:p>
        <a:p>
          <a:endParaRPr lang="en-US" sz="1100" baseline="0"/>
        </a:p>
        <a:p>
          <a:endParaRPr lang="en-US" sz="1100" baseline="0"/>
        </a:p>
        <a:p>
          <a:endParaRPr lang="en-US" sz="1100" baseline="0"/>
        </a:p>
        <a:p>
          <a:r>
            <a:rPr lang="en-US" sz="1100" baseline="0"/>
            <a:t>iii. Jan Kotas: Sold mostly to company CC. His sales performance for the year recorded a total value of $16,350. He sold only 3 products, Beverages, Vegetables and candy. she is located at the west region</a:t>
          </a:r>
        </a:p>
        <a:p>
          <a:endParaRPr lang="en-US" sz="1100" baseline="0"/>
        </a:p>
        <a:p>
          <a:endParaRPr lang="en-US" sz="1100" baseline="0"/>
        </a:p>
        <a:p>
          <a:endParaRPr lang="en-US" sz="1100" baseline="0"/>
        </a:p>
        <a:p>
          <a:r>
            <a:rPr lang="en-US" sz="1100" baseline="0"/>
            <a:t>iv. Laura Guissani: She sold 4 product categories, Condiments, baked food,jams, dried fruits and beverages, amongst all the pdocuct category, beverages showed the lowest revenue generated. She was based in the East, sold mainly to company J and Company Y. She have a total annual sales revenue of $41,095,01. Her highest sales performance was recorded in the month of June with a total of $6700, followed by December with $6,617.69, her lowest was in march.</a:t>
          </a:r>
        </a:p>
        <a:p>
          <a:endParaRPr lang="en-US" sz="1100" baseline="0"/>
        </a:p>
        <a:p>
          <a:endParaRPr lang="en-US" sz="1100" baseline="0"/>
        </a:p>
        <a:p>
          <a:endParaRPr lang="en-US" sz="1100" baseline="0"/>
        </a:p>
        <a:p>
          <a:r>
            <a:rPr lang="en-US" sz="1100" baseline="0"/>
            <a:t>v.. Mariya Sergienko: focused on selling and distributing to company C, Company AA and Company L. She made a total revenue of $43,370 across 12 months, recording highest sales in the month of December with $7,653.16. Shes based in the West, focused on the sales of Sauces, Beverages,condimennts,soupts and dried fruits. record shows that over 45% Of her revenue generated was influenced by the sales of Sauces which gave a total $18000.</a:t>
          </a:r>
        </a:p>
        <a:p>
          <a:endParaRPr lang="en-US" sz="1100" baseline="0"/>
        </a:p>
        <a:p>
          <a:endParaRPr lang="en-US" sz="1100" baseline="0"/>
        </a:p>
        <a:p>
          <a:endParaRPr lang="en-US" sz="1100" baseline="0"/>
        </a:p>
        <a:p>
          <a:r>
            <a:rPr lang="en-US" sz="1100" baseline="0"/>
            <a:t>vi. Michael Neipper: He is located in the North and supplies produce to only 1 company, the company F. He made over $37,428 most of which was from the sales and distribution of Beverages, Sauces, candy, Dried fruits and shopping fee. She sold the highest of the company produce in October, generating a totao of $6738.50.... </a:t>
          </a:r>
        </a:p>
        <a:p>
          <a:endParaRPr lang="en-US" sz="1100" baseline="0"/>
        </a:p>
        <a:p>
          <a:r>
            <a:rPr lang="en-US" sz="1100" baseline="0"/>
            <a:t>vii. Nancy freehafer: She sold and supplied Beverages, Sauce, Driedfruits. canned meat and candy also remaining. Her top customers company H, Company G, and company A. She had a total revenue generated of $104,252.34. </a:t>
          </a:r>
        </a:p>
        <a:p>
          <a:r>
            <a:rPr lang="en-US" sz="1100" baseline="0"/>
            <a:t>December had a total contribution of $16,173.36 why February had the lowest sales with $1693.95</a:t>
          </a:r>
        </a:p>
        <a:p>
          <a:endParaRPr lang="en-US" sz="1100" baseline="0"/>
        </a:p>
        <a:p>
          <a:endParaRPr lang="en-US" sz="1100" baseline="0"/>
        </a:p>
        <a:p>
          <a:endParaRPr lang="en-US" sz="1100" baseline="0"/>
        </a:p>
        <a:p>
          <a:r>
            <a:rPr lang="en-US" sz="1100" baseline="0"/>
            <a:t>viii. Robert Zare: Her focus was on the sale of 3 product category viz, Dairy products, pasta and soups.</a:t>
          </a:r>
        </a:p>
        <a:p>
          <a:r>
            <a:rPr lang="en-US" sz="1100" baseline="0"/>
            <a:t>She sold mainly to company I, originally from the western region. shes from the Western regions. A total of $32530 was generated by Zare, Withjune recording the most active sales month of Global store  produce.</a:t>
          </a: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15</xdr:col>
      <xdr:colOff>263977</xdr:colOff>
      <xdr:row>1</xdr:row>
      <xdr:rowOff>93838</xdr:rowOff>
    </xdr:from>
    <xdr:to>
      <xdr:col>37</xdr:col>
      <xdr:colOff>352777</xdr:colOff>
      <xdr:row>71</xdr:row>
      <xdr:rowOff>171349</xdr:rowOff>
    </xdr:to>
    <xdr:sp macro="" textlink="">
      <xdr:nvSpPr>
        <xdr:cNvPr id="3" name="TextBox 2">
          <a:extLst>
            <a:ext uri="{FF2B5EF4-FFF2-40B4-BE49-F238E27FC236}">
              <a16:creationId xmlns:a16="http://schemas.microsoft.com/office/drawing/2014/main" id="{67CB725B-B422-4C08-8B80-9B1E9153C88C}"/>
            </a:ext>
          </a:extLst>
        </xdr:cNvPr>
        <xdr:cNvSpPr txBox="1"/>
      </xdr:nvSpPr>
      <xdr:spPr>
        <a:xfrm>
          <a:off x="9335406" y="275267"/>
          <a:ext cx="13393561" cy="12777511"/>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Post Analysis</a:t>
          </a:r>
          <a:r>
            <a:rPr lang="en-US" sz="1100" baseline="0"/>
            <a:t> Observation</a:t>
          </a:r>
        </a:p>
        <a:p>
          <a:endParaRPr lang="en-US" sz="1100" baseline="0"/>
        </a:p>
        <a:p>
          <a:r>
            <a:rPr lang="en-US" sz="1100" baseline="0"/>
            <a:t>Focus 2:</a:t>
          </a:r>
        </a:p>
        <a:p>
          <a:r>
            <a:rPr lang="en-US" sz="1100" baseline="0"/>
            <a:t>CUSTOMERS</a:t>
          </a:r>
        </a:p>
        <a:p>
          <a:endParaRPr lang="en-US" sz="1100" baseline="0"/>
        </a:p>
        <a:p>
          <a:endParaRPr lang="en-US" sz="1100" baseline="0"/>
        </a:p>
        <a:p>
          <a:r>
            <a:rPr lang="en-US" sz="1100" baseline="0"/>
            <a:t>Company A: </a:t>
          </a:r>
        </a:p>
        <a:p>
          <a:r>
            <a:rPr lang="en-US" sz="1100" baseline="0"/>
            <a:t>this customer is located in the Northern region, it focus on purchase of beverages and canned meat alone spending $30,491.99 and $6,348.00 on this two products respectively. It purchasing power grew progressively across the January to December with December recording the highest spending pattern of $6,895.36. The most active sales person supplying  to this company is Nancy Freehafer and the had a total purchase of $36,839.99</a:t>
          </a:r>
        </a:p>
        <a:p>
          <a:endParaRPr lang="en-US" sz="1100" baseline="0"/>
        </a:p>
        <a:p>
          <a:endParaRPr lang="en-US" sz="1100" baseline="0"/>
        </a:p>
        <a:p>
          <a:r>
            <a:rPr lang="en-US" sz="1100" baseline="0"/>
            <a:t>Company AA</a:t>
          </a:r>
        </a:p>
        <a:p>
          <a:r>
            <a:rPr lang="en-US" sz="1100" baseline="0"/>
            <a:t>This customer is located in the Western region, it focused on the purchase of Beverages and Dried fruits, spending $882.00 and $409.50 annually on this two products respectively. It major distributor is Mary Sergeienko and the total monetary value spend annually on purchase of this two products is $!291.50. purchasing strength of this customer declined progressively from the beginning of the year to the year end.</a:t>
          </a:r>
        </a:p>
        <a:p>
          <a:endParaRPr lang="en-US" sz="1100" baseline="0"/>
        </a:p>
        <a:p>
          <a:r>
            <a:rPr lang="en-US" sz="1100" baseline="0"/>
            <a:t>Company BB</a:t>
          </a:r>
        </a:p>
        <a:p>
          <a:r>
            <a:rPr lang="en-US" sz="1100" baseline="0"/>
            <a:t>This customer is located in the Southern region. It focused solely on the purchase of Beverages, canned meat with an annual spending pattern of $27,508, $10,212 and $5,983 annually. Her purchasing power wasn't progressive this may be due to PEST factors, strongest purchase was seen in the month of October with about $6,386.20 while month like march, and September recorded a high decline in the purchasing power. The major distributor to this customer is Anne Larsen with an annual spending of $48,713</a:t>
          </a:r>
        </a:p>
        <a:p>
          <a:endParaRPr lang="en-US" sz="1100" baseline="0"/>
        </a:p>
        <a:p>
          <a:r>
            <a:rPr lang="en-US" sz="1100" baseline="0"/>
            <a:t>Company C</a:t>
          </a:r>
        </a:p>
        <a:p>
          <a:r>
            <a:rPr lang="en-US" sz="1100" baseline="0"/>
            <a:t>This customer is located in the west, it made a total annual purchase of $27,005. it focused on purchasing Sauces, condiments soups and beverages, while beverages had lower demand by this customer with about $559, Sauces were most often demanded with an annual purchase of $18,080. It main supplier was Mary Sergienko and highest supply was recorded in the month of May with a record of $5,154.95.  Months like January, April, June, July and November had purchase below $1500, while every other months the spending pattern of this customer on products supplied were above $2,000</a:t>
          </a:r>
        </a:p>
        <a:p>
          <a:endParaRPr lang="en-US" sz="1100" baseline="0"/>
        </a:p>
        <a:p>
          <a:endParaRPr lang="en-US" sz="1100" baseline="0"/>
        </a:p>
        <a:p>
          <a:r>
            <a:rPr lang="en-US" sz="1100" baseline="0"/>
            <a:t>Company CC</a:t>
          </a:r>
        </a:p>
        <a:p>
          <a:r>
            <a:rPr lang="en-US" sz="1100" baseline="0"/>
            <a:t>This customer is located in the West, it focused on the consumption of 3 products Beverages, Fruit &amp; Veg, and lasty Candy. Annual demand of all 3 products was above $2,000 Although beverages had the highest demand power with a total of $6,986 spent on that product category while Fruit &amp; Veg demand had an accumulated annual cost of $6,942. It purchasing trend was dynamic and volatile with the highest demand of $4,928 in the month of June, followed with a drastic fall in demand to $322 in the following month ( July). All other month recorded a lower accumulated demand which was below $2,000 except March and December which had a total demand of  $2,022 and $4,049 respectively. It major distributor was Jan Kotas with </a:t>
          </a:r>
        </a:p>
        <a:p>
          <a:endParaRPr lang="en-US" sz="1100" baseline="0"/>
        </a:p>
        <a:p>
          <a:r>
            <a:rPr lang="en-US" sz="1100" baseline="0"/>
            <a:t>Company D</a:t>
          </a:r>
        </a:p>
        <a:p>
          <a:r>
            <a:rPr lang="en-US" sz="1100" baseline="0"/>
            <a:t>This customer is located in the Eastern region, it had a total demand of $67,180.50 which was influenced by the distribution lead by Andrew Cencini. It focused on purchasing Jams, nuts, pasta, grains and baked goods, there was no record of beverage demand by this customer. Jams preserves had the highest annual demand of $41,391.00. It purchasing trend wasn't progressive has it was characterized with a few high and lows across the trading year. it highest demand was recorded in the month of June $11,595 followed by December with an annual spending pattern of $11,026.00</a:t>
          </a:r>
        </a:p>
        <a:p>
          <a:endParaRPr lang="en-US" sz="1100" baseline="0"/>
        </a:p>
        <a:p>
          <a:r>
            <a:rPr lang="en-US" sz="1100" baseline="0"/>
            <a:t>Company F</a:t>
          </a:r>
        </a:p>
        <a:p>
          <a:r>
            <a:rPr lang="en-US" sz="1100" baseline="0"/>
            <a:t>This customer is located in the Northern region, it had a total accumulated annual demand of $37,428 influenced by the supply lead of Michael Neipper. Company F were flexible with their spending pattern concentrating on the purchase of not just one products category but 4; Beverages, sauces, candy and dried fruit &amp; Nuts. It highest demand was caught across the purchase of beverages with an annual spending of $10,178, while other products had a total annual spending above $8,500. It purchasing trend was highly volatile and dynamic across the year from January down to December with October recording the highest demand of $6,738.50.</a:t>
          </a:r>
        </a:p>
        <a:p>
          <a:endParaRPr lang="en-US" sz="1100" baseline="0"/>
        </a:p>
        <a:p>
          <a:endParaRPr lang="en-US" sz="1100" baseline="0"/>
        </a:p>
        <a:p>
          <a:r>
            <a:rPr lang="en-US" sz="1100" baseline="0"/>
            <a:t>Company G</a:t>
          </a:r>
        </a:p>
        <a:p>
          <a:r>
            <a:rPr lang="en-US" sz="1100" baseline="0"/>
            <a:t>This customer is located in the Northern region, with Nancy Freehafer being the major sales person to this company recording a total annual sales of $17,204. Company G just one spending pattern which was fixed on the purchase of just one product category (Beverages) this implies that it annual spending/demand of $17,204 was tied to just this product category. It purchasing power grew progressively except for a fall in demand in the month of May, and a drastic decline in demand within the month of August down to the month of December.</a:t>
          </a:r>
        </a:p>
        <a:p>
          <a:endParaRPr lang="en-US" sz="1100" baseline="0"/>
        </a:p>
        <a:p>
          <a:endParaRPr lang="en-US" sz="1100" baseline="0"/>
        </a:p>
        <a:p>
          <a:r>
            <a:rPr lang="en-US" sz="1100" baseline="0"/>
            <a:t>Company H</a:t>
          </a:r>
        </a:p>
        <a:p>
          <a:r>
            <a:rPr lang="en-US" sz="1100" baseline="0"/>
            <a:t>This customer is located in the Northern region with Nancy Freehafer being the major sales person recording a total annual sales of $59,208.35. It focused highly on the consumption of sauces product category with an annual demand of $22,920 while other products like dairy products, candy, and baked goods below an annual demand of $15,000. The spending trend demonstrated by this company was characterized by high and lows with the first 3 months recording a total demand below $2,000 except march which was the third month with highest demand following December and October respectively. All other month within the second quarter had a natural flow of demand above $3,000.</a:t>
          </a:r>
        </a:p>
        <a:p>
          <a:endParaRPr lang="en-US" sz="1100" baseline="0"/>
        </a:p>
        <a:p>
          <a:r>
            <a:rPr lang="en-US" sz="1100" baseline="0"/>
            <a:t>Company I</a:t>
          </a:r>
        </a:p>
        <a:p>
          <a:r>
            <a:rPr lang="en-US" sz="1100" baseline="0"/>
            <a:t>This company is located in the Western region. it focused on the purchased of 3 products category; Diary, pasta and soups with diary having the highest annual demand of $18,444, followed by Pasta and then soups in that order. The major sales person to this customer is Robert Zare with an annual sales of $32,530. This implies that company I made a total demand value worth of $32,530 on this 3 products category across the year. The sales trend to this company was characterized with it own fair share of Ups and Downs, with February recording the lowest sales of about $260 and October having the highest with $4,542.85.</a:t>
          </a:r>
        </a:p>
        <a:p>
          <a:endParaRPr lang="en-US" sz="1100" baseline="0"/>
        </a:p>
        <a:p>
          <a:r>
            <a:rPr lang="en-US" sz="1100" baseline="0"/>
            <a:t>Company J</a:t>
          </a:r>
        </a:p>
        <a:p>
          <a:r>
            <a:rPr lang="en-US" sz="1100" baseline="0"/>
            <a:t>This customer is located in the East side, it major supply is Laura Giussani with a total purchase of $29,133. It focused on the purchase of 5 different product category, Condiments, jams, dried fruits, baked goods and beverages, with condiments recording the highest demand. The sales trend shows that it highest purchase was in the month of august with about $4,260.</a:t>
          </a:r>
        </a:p>
        <a:p>
          <a:endParaRPr lang="en-US" sz="1100" baseline="0"/>
        </a:p>
        <a:p>
          <a:endParaRPr lang="en-US" sz="1100" baseline="0"/>
        </a:p>
        <a:p>
          <a:r>
            <a:rPr lang="en-US" sz="1200" b="0" baseline="0"/>
            <a:t>company k</a:t>
          </a:r>
        </a:p>
        <a:p>
          <a:r>
            <a:rPr lang="en-US" sz="1200" b="0" baseline="0"/>
            <a:t>This company is located in the south, it concentrated on the purchase of only 3 products category; sauces, beverages and dried fruits &amp; Nuts. it major supply person is Anne Larsen with a total of $21,937.08. It highest demand was recorded in the months of July with about $3,800.</a:t>
          </a:r>
        </a:p>
        <a:p>
          <a:endParaRPr lang="en-US" sz="1200" b="0" baseline="0"/>
        </a:p>
        <a:p>
          <a:r>
            <a:rPr lang="en-US" sz="1200" b="0" baseline="0"/>
            <a:t>Company L</a:t>
          </a:r>
        </a:p>
        <a:p>
          <a:r>
            <a:rPr lang="en-US" sz="1200" b="0" baseline="0"/>
            <a:t>This company is locate in the West, its major supplier is Mariya Sergienko with a total product worth of $14,074. It highest sales was recoded in the month of April.</a:t>
          </a: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86393</xdr:colOff>
      <xdr:row>2</xdr:row>
      <xdr:rowOff>30655</xdr:rowOff>
    </xdr:from>
    <xdr:to>
      <xdr:col>32</xdr:col>
      <xdr:colOff>204606</xdr:colOff>
      <xdr:row>45</xdr:row>
      <xdr:rowOff>164224</xdr:rowOff>
    </xdr:to>
    <xdr:sp macro="" textlink="">
      <xdr:nvSpPr>
        <xdr:cNvPr id="2" name="Rectangle: Rounded Corners 1">
          <a:extLst>
            <a:ext uri="{FF2B5EF4-FFF2-40B4-BE49-F238E27FC236}">
              <a16:creationId xmlns:a16="http://schemas.microsoft.com/office/drawing/2014/main" id="{00000000-0008-0000-0700-000002000000}"/>
            </a:ext>
          </a:extLst>
        </xdr:cNvPr>
        <xdr:cNvSpPr/>
      </xdr:nvSpPr>
      <xdr:spPr>
        <a:xfrm>
          <a:off x="698302" y="400110"/>
          <a:ext cx="19087395" cy="8076841"/>
        </a:xfrm>
        <a:prstGeom prst="roundRect">
          <a:avLst>
            <a:gd name="adj" fmla="val 217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202045</xdr:colOff>
      <xdr:row>2</xdr:row>
      <xdr:rowOff>155965</xdr:rowOff>
    </xdr:from>
    <xdr:to>
      <xdr:col>3</xdr:col>
      <xdr:colOff>389659</xdr:colOff>
      <xdr:row>44</xdr:row>
      <xdr:rowOff>148618</xdr:rowOff>
    </xdr:to>
    <xdr:sp macro="" textlink="">
      <xdr:nvSpPr>
        <xdr:cNvPr id="3" name="Rectangle: Rounded Corners 2">
          <a:extLst>
            <a:ext uri="{FF2B5EF4-FFF2-40B4-BE49-F238E27FC236}">
              <a16:creationId xmlns:a16="http://schemas.microsoft.com/office/drawing/2014/main" id="{00000000-0008-0000-0700-000003000000}"/>
            </a:ext>
          </a:extLst>
        </xdr:cNvPr>
        <xdr:cNvSpPr/>
      </xdr:nvSpPr>
      <xdr:spPr>
        <a:xfrm>
          <a:off x="815520" y="521897"/>
          <a:ext cx="1414563" cy="7677229"/>
        </a:xfrm>
        <a:prstGeom prst="roundRect">
          <a:avLst>
            <a:gd name="adj" fmla="val 1195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491796</xdr:colOff>
      <xdr:row>5</xdr:row>
      <xdr:rowOff>107627</xdr:rowOff>
    </xdr:from>
    <xdr:to>
      <xdr:col>7</xdr:col>
      <xdr:colOff>164222</xdr:colOff>
      <xdr:row>11</xdr:row>
      <xdr:rowOff>31969</xdr:rowOff>
    </xdr:to>
    <xdr:sp macro="" textlink="">
      <xdr:nvSpPr>
        <xdr:cNvPr id="4" name="Rectangle: Rounded Corners 3">
          <a:extLst>
            <a:ext uri="{FF2B5EF4-FFF2-40B4-BE49-F238E27FC236}">
              <a16:creationId xmlns:a16="http://schemas.microsoft.com/office/drawing/2014/main" id="{00000000-0008-0000-0700-000004000000}"/>
            </a:ext>
          </a:extLst>
        </xdr:cNvPr>
        <xdr:cNvSpPr/>
      </xdr:nvSpPr>
      <xdr:spPr>
        <a:xfrm>
          <a:off x="1718745" y="1022458"/>
          <a:ext cx="2126324" cy="1022138"/>
        </a:xfrm>
        <a:prstGeom prst="roundRect">
          <a:avLst>
            <a:gd name="adj" fmla="val 4069"/>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398703</xdr:colOff>
      <xdr:row>5</xdr:row>
      <xdr:rowOff>118389</xdr:rowOff>
    </xdr:from>
    <xdr:to>
      <xdr:col>11</xdr:col>
      <xdr:colOff>73656</xdr:colOff>
      <xdr:row>11</xdr:row>
      <xdr:rowOff>31969</xdr:rowOff>
    </xdr:to>
    <xdr:sp macro="" textlink="">
      <xdr:nvSpPr>
        <xdr:cNvPr id="5" name="Rectangle: Rounded Corners 4">
          <a:extLst>
            <a:ext uri="{FF2B5EF4-FFF2-40B4-BE49-F238E27FC236}">
              <a16:creationId xmlns:a16="http://schemas.microsoft.com/office/drawing/2014/main" id="{00000000-0008-0000-0700-000005000000}"/>
            </a:ext>
          </a:extLst>
        </xdr:cNvPr>
        <xdr:cNvSpPr/>
      </xdr:nvSpPr>
      <xdr:spPr>
        <a:xfrm>
          <a:off x="4079550" y="1033220"/>
          <a:ext cx="2128852" cy="1011376"/>
        </a:xfrm>
        <a:prstGeom prst="roundRect">
          <a:avLst>
            <a:gd name="adj" fmla="val 4069"/>
          </a:avLst>
        </a:prstGeom>
        <a:solidFill>
          <a:srgbClr val="3F62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308137</xdr:colOff>
      <xdr:row>5</xdr:row>
      <xdr:rowOff>118389</xdr:rowOff>
    </xdr:from>
    <xdr:to>
      <xdr:col>14</xdr:col>
      <xdr:colOff>593666</xdr:colOff>
      <xdr:row>11</xdr:row>
      <xdr:rowOff>31969</xdr:rowOff>
    </xdr:to>
    <xdr:sp macro="" textlink="">
      <xdr:nvSpPr>
        <xdr:cNvPr id="6" name="Rectangle: Rounded Corners 5">
          <a:extLst>
            <a:ext uri="{FF2B5EF4-FFF2-40B4-BE49-F238E27FC236}">
              <a16:creationId xmlns:a16="http://schemas.microsoft.com/office/drawing/2014/main" id="{00000000-0008-0000-0700-000006000000}"/>
            </a:ext>
          </a:extLst>
        </xdr:cNvPr>
        <xdr:cNvSpPr/>
      </xdr:nvSpPr>
      <xdr:spPr>
        <a:xfrm>
          <a:off x="6442883" y="1033220"/>
          <a:ext cx="2125952" cy="1011376"/>
        </a:xfrm>
        <a:prstGeom prst="roundRect">
          <a:avLst>
            <a:gd name="adj" fmla="val 4069"/>
          </a:avLst>
        </a:prstGeom>
        <a:solidFill>
          <a:srgbClr val="3F62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217570</xdr:colOff>
      <xdr:row>5</xdr:row>
      <xdr:rowOff>118389</xdr:rowOff>
    </xdr:from>
    <xdr:to>
      <xdr:col>18</xdr:col>
      <xdr:colOff>503099</xdr:colOff>
      <xdr:row>11</xdr:row>
      <xdr:rowOff>31969</xdr:rowOff>
    </xdr:to>
    <xdr:sp macro="" textlink="">
      <xdr:nvSpPr>
        <xdr:cNvPr id="7" name="Rectangle: Rounded Corners 6">
          <a:extLst>
            <a:ext uri="{FF2B5EF4-FFF2-40B4-BE49-F238E27FC236}">
              <a16:creationId xmlns:a16="http://schemas.microsoft.com/office/drawing/2014/main" id="{00000000-0008-0000-0700-000007000000}"/>
            </a:ext>
          </a:extLst>
        </xdr:cNvPr>
        <xdr:cNvSpPr/>
      </xdr:nvSpPr>
      <xdr:spPr>
        <a:xfrm>
          <a:off x="8806214" y="1033220"/>
          <a:ext cx="2125953" cy="1011376"/>
        </a:xfrm>
        <a:prstGeom prst="roundRect">
          <a:avLst>
            <a:gd name="adj" fmla="val 4069"/>
          </a:avLst>
        </a:prstGeom>
        <a:solidFill>
          <a:srgbClr val="3F62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127002</xdr:colOff>
      <xdr:row>5</xdr:row>
      <xdr:rowOff>107627</xdr:rowOff>
    </xdr:from>
    <xdr:to>
      <xdr:col>22</xdr:col>
      <xdr:colOff>412532</xdr:colOff>
      <xdr:row>11</xdr:row>
      <xdr:rowOff>31969</xdr:rowOff>
    </xdr:to>
    <xdr:sp macro="" textlink="">
      <xdr:nvSpPr>
        <xdr:cNvPr id="8" name="Rectangle: Rounded Corners 7">
          <a:extLst>
            <a:ext uri="{FF2B5EF4-FFF2-40B4-BE49-F238E27FC236}">
              <a16:creationId xmlns:a16="http://schemas.microsoft.com/office/drawing/2014/main" id="{00000000-0008-0000-0700-000008000000}"/>
            </a:ext>
          </a:extLst>
        </xdr:cNvPr>
        <xdr:cNvSpPr/>
      </xdr:nvSpPr>
      <xdr:spPr>
        <a:xfrm>
          <a:off x="11137552" y="1039737"/>
          <a:ext cx="2120622" cy="1042874"/>
        </a:xfrm>
        <a:prstGeom prst="roundRect">
          <a:avLst>
            <a:gd name="adj" fmla="val 4069"/>
          </a:avLst>
        </a:prstGeom>
        <a:solidFill>
          <a:srgbClr val="3F62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513984</xdr:colOff>
      <xdr:row>2</xdr:row>
      <xdr:rowOff>164570</xdr:rowOff>
    </xdr:from>
    <xdr:to>
      <xdr:col>16</xdr:col>
      <xdr:colOff>396102</xdr:colOff>
      <xdr:row>5</xdr:row>
      <xdr:rowOff>52308</xdr:rowOff>
    </xdr:to>
    <xdr:sp macro="" textlink="">
      <xdr:nvSpPr>
        <xdr:cNvPr id="9" name="Rectangle: Rounded Corners 8">
          <a:extLst>
            <a:ext uri="{FF2B5EF4-FFF2-40B4-BE49-F238E27FC236}">
              <a16:creationId xmlns:a16="http://schemas.microsoft.com/office/drawing/2014/main" id="{00000000-0008-0000-0700-000009000000}"/>
            </a:ext>
          </a:extLst>
        </xdr:cNvPr>
        <xdr:cNvSpPr/>
      </xdr:nvSpPr>
      <xdr:spPr>
        <a:xfrm>
          <a:off x="2348428" y="540866"/>
          <a:ext cx="7831378" cy="452183"/>
        </a:xfrm>
        <a:prstGeom prst="roundRect">
          <a:avLst>
            <a:gd name="adj" fmla="val 406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baseline="0">
              <a:solidFill>
                <a:srgbClr val="3A5925"/>
              </a:solidFill>
              <a:latin typeface="Cambria" panose="02040503050406030204" pitchFamily="18" charset="0"/>
              <a:ea typeface="Cambria" panose="02040503050406030204" pitchFamily="18" charset="0"/>
            </a:rPr>
            <a:t>Davinches LTD Annual Sales and Profitability Report Analysis</a:t>
          </a:r>
          <a:endParaRPr lang="en-US" sz="2400" b="1">
            <a:solidFill>
              <a:srgbClr val="3A5925"/>
            </a:solidFill>
            <a:latin typeface="Cambria" panose="02040503050406030204" pitchFamily="18" charset="0"/>
            <a:ea typeface="Cambria" panose="02040503050406030204" pitchFamily="18" charset="0"/>
          </a:endParaRPr>
        </a:p>
      </xdr:txBody>
    </xdr:sp>
    <xdr:clientData/>
  </xdr:twoCellAnchor>
  <xdr:twoCellAnchor>
    <xdr:from>
      <xdr:col>3</xdr:col>
      <xdr:colOff>486510</xdr:colOff>
      <xdr:row>11</xdr:row>
      <xdr:rowOff>161988</xdr:rowOff>
    </xdr:from>
    <xdr:to>
      <xdr:col>14</xdr:col>
      <xdr:colOff>168881</xdr:colOff>
      <xdr:row>26</xdr:row>
      <xdr:rowOff>0</xdr:rowOff>
    </xdr:to>
    <xdr:sp macro="" textlink="">
      <xdr:nvSpPr>
        <xdr:cNvPr id="10" name="Rectangle: Rounded Corners 9">
          <a:extLst>
            <a:ext uri="{FF2B5EF4-FFF2-40B4-BE49-F238E27FC236}">
              <a16:creationId xmlns:a16="http://schemas.microsoft.com/office/drawing/2014/main" id="{00000000-0008-0000-0700-00000A000000}"/>
            </a:ext>
          </a:extLst>
        </xdr:cNvPr>
        <xdr:cNvSpPr/>
      </xdr:nvSpPr>
      <xdr:spPr>
        <a:xfrm>
          <a:off x="2310446" y="2242626"/>
          <a:ext cx="6370137" cy="2675246"/>
        </a:xfrm>
        <a:prstGeom prst="roundRect">
          <a:avLst>
            <a:gd name="adj" fmla="val 4069"/>
          </a:avLst>
        </a:prstGeom>
        <a:solidFill>
          <a:schemeClr val="bg1"/>
        </a:solidFill>
        <a:ln>
          <a:noFill/>
        </a:ln>
        <a:effectLst>
          <a:outerShdw blurRad="50800" dist="38100" dir="2700000" algn="tl" rotWithShape="0">
            <a:schemeClr val="accent6">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295563</xdr:colOff>
      <xdr:row>12</xdr:row>
      <xdr:rowOff>3030</xdr:rowOff>
    </xdr:from>
    <xdr:to>
      <xdr:col>22</xdr:col>
      <xdr:colOff>610272</xdr:colOff>
      <xdr:row>25</xdr:row>
      <xdr:rowOff>178641</xdr:rowOff>
    </xdr:to>
    <xdr:sp macro="" textlink="">
      <xdr:nvSpPr>
        <xdr:cNvPr id="11" name="Rectangle: Rounded Corners 10">
          <a:extLst>
            <a:ext uri="{FF2B5EF4-FFF2-40B4-BE49-F238E27FC236}">
              <a16:creationId xmlns:a16="http://schemas.microsoft.com/office/drawing/2014/main" id="{00000000-0008-0000-0700-00000B000000}"/>
            </a:ext>
          </a:extLst>
        </xdr:cNvPr>
        <xdr:cNvSpPr/>
      </xdr:nvSpPr>
      <xdr:spPr>
        <a:xfrm>
          <a:off x="8862290" y="2219757"/>
          <a:ext cx="5209982" cy="2577066"/>
        </a:xfrm>
        <a:prstGeom prst="roundRect">
          <a:avLst>
            <a:gd name="adj" fmla="val 4069"/>
          </a:avLst>
        </a:prstGeom>
        <a:solidFill>
          <a:schemeClr val="bg1"/>
        </a:solidFill>
        <a:ln>
          <a:noFill/>
        </a:ln>
        <a:effectLst>
          <a:outerShdw blurRad="50800" dist="38100" dir="2700000" algn="tl" rotWithShape="0">
            <a:schemeClr val="accent6">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149412</xdr:colOff>
      <xdr:row>12</xdr:row>
      <xdr:rowOff>6710</xdr:rowOff>
    </xdr:from>
    <xdr:to>
      <xdr:col>31</xdr:col>
      <xdr:colOff>610097</xdr:colOff>
      <xdr:row>25</xdr:row>
      <xdr:rowOff>154879</xdr:rowOff>
    </xdr:to>
    <xdr:sp macro="" textlink="">
      <xdr:nvSpPr>
        <xdr:cNvPr id="12" name="Rectangle: Rounded Corners 11">
          <a:extLst>
            <a:ext uri="{FF2B5EF4-FFF2-40B4-BE49-F238E27FC236}">
              <a16:creationId xmlns:a16="http://schemas.microsoft.com/office/drawing/2014/main" id="{00000000-0008-0000-0700-00000C000000}"/>
            </a:ext>
          </a:extLst>
        </xdr:cNvPr>
        <xdr:cNvSpPr/>
      </xdr:nvSpPr>
      <xdr:spPr>
        <a:xfrm>
          <a:off x="14220083" y="2236954"/>
          <a:ext cx="5354831" cy="2564266"/>
        </a:xfrm>
        <a:prstGeom prst="roundRect">
          <a:avLst>
            <a:gd name="adj" fmla="val 406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610573</xdr:colOff>
      <xdr:row>5</xdr:row>
      <xdr:rowOff>99037</xdr:rowOff>
    </xdr:from>
    <xdr:to>
      <xdr:col>31</xdr:col>
      <xdr:colOff>612375</xdr:colOff>
      <xdr:row>11</xdr:row>
      <xdr:rowOff>27020</xdr:rowOff>
    </xdr:to>
    <xdr:sp macro="" textlink="">
      <xdr:nvSpPr>
        <xdr:cNvPr id="15" name="Rectangle: Rounded Corners 14">
          <a:extLst>
            <a:ext uri="{FF2B5EF4-FFF2-40B4-BE49-F238E27FC236}">
              <a16:creationId xmlns:a16="http://schemas.microsoft.com/office/drawing/2014/main" id="{00000000-0008-0000-0700-00000F000000}"/>
            </a:ext>
          </a:extLst>
        </xdr:cNvPr>
        <xdr:cNvSpPr/>
      </xdr:nvSpPr>
      <xdr:spPr>
        <a:xfrm>
          <a:off x="14098849" y="1029640"/>
          <a:ext cx="5519733" cy="1044708"/>
        </a:xfrm>
        <a:prstGeom prst="roundRect">
          <a:avLst>
            <a:gd name="adj" fmla="val 4069"/>
          </a:avLst>
        </a:prstGeom>
        <a:solidFill>
          <a:schemeClr val="bg1"/>
        </a:solidFill>
        <a:ln>
          <a:noFill/>
        </a:ln>
        <a:effectLst>
          <a:outerShdw blurRad="50800" dist="38100" dir="8100000" algn="tr" rotWithShape="0">
            <a:schemeClr val="accent6">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123157</xdr:colOff>
      <xdr:row>26</xdr:row>
      <xdr:rowOff>73087</xdr:rowOff>
    </xdr:from>
    <xdr:to>
      <xdr:col>19</xdr:col>
      <xdr:colOff>154460</xdr:colOff>
      <xdr:row>44</xdr:row>
      <xdr:rowOff>114113</xdr:rowOff>
    </xdr:to>
    <xdr:sp macro="" textlink="">
      <xdr:nvSpPr>
        <xdr:cNvPr id="20" name="Rectangle: Rounded Corners 19">
          <a:extLst>
            <a:ext uri="{FF2B5EF4-FFF2-40B4-BE49-F238E27FC236}">
              <a16:creationId xmlns:a16="http://schemas.microsoft.com/office/drawing/2014/main" id="{00000000-0008-0000-0700-000014000000}"/>
            </a:ext>
          </a:extLst>
        </xdr:cNvPr>
        <xdr:cNvSpPr/>
      </xdr:nvSpPr>
      <xdr:spPr>
        <a:xfrm>
          <a:off x="5637631" y="4618350"/>
          <a:ext cx="5545776" cy="3449974"/>
        </a:xfrm>
        <a:prstGeom prst="roundRect">
          <a:avLst>
            <a:gd name="adj" fmla="val 604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478410</xdr:colOff>
      <xdr:row>26</xdr:row>
      <xdr:rowOff>106795</xdr:rowOff>
    </xdr:from>
    <xdr:to>
      <xdr:col>9</xdr:col>
      <xdr:colOff>577523</xdr:colOff>
      <xdr:row>44</xdr:row>
      <xdr:rowOff>131680</xdr:rowOff>
    </xdr:to>
    <xdr:sp macro="" textlink="">
      <xdr:nvSpPr>
        <xdr:cNvPr id="23" name="Rectangle: Rounded Corners 22">
          <a:extLst>
            <a:ext uri="{FF2B5EF4-FFF2-40B4-BE49-F238E27FC236}">
              <a16:creationId xmlns:a16="http://schemas.microsoft.com/office/drawing/2014/main" id="{00000000-0008-0000-0700-000017000000}"/>
            </a:ext>
          </a:extLst>
        </xdr:cNvPr>
        <xdr:cNvSpPr/>
      </xdr:nvSpPr>
      <xdr:spPr>
        <a:xfrm>
          <a:off x="2314137" y="4909704"/>
          <a:ext cx="3770568" cy="3349976"/>
        </a:xfrm>
        <a:prstGeom prst="roundRect">
          <a:avLst>
            <a:gd name="adj" fmla="val 736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472872</xdr:colOff>
      <xdr:row>11</xdr:row>
      <xdr:rowOff>158751</xdr:rowOff>
    </xdr:from>
    <xdr:to>
      <xdr:col>14</xdr:col>
      <xdr:colOff>218606</xdr:colOff>
      <xdr:row>26</xdr:row>
      <xdr:rowOff>0</xdr:rowOff>
    </xdr:to>
    <xdr:graphicFrame macro="">
      <xdr:nvGraphicFramePr>
        <xdr:cNvPr id="24" name="Chart 23">
          <a:extLst>
            <a:ext uri="{FF2B5EF4-FFF2-40B4-BE49-F238E27FC236}">
              <a16:creationId xmlns:a16="http://schemas.microsoft.com/office/drawing/2014/main" id="{00000000-0008-0000-07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263071</xdr:colOff>
      <xdr:row>12</xdr:row>
      <xdr:rowOff>9071</xdr:rowOff>
    </xdr:from>
    <xdr:to>
      <xdr:col>23</xdr:col>
      <xdr:colOff>49117</xdr:colOff>
      <xdr:row>25</xdr:row>
      <xdr:rowOff>172399</xdr:rowOff>
    </xdr:to>
    <xdr:graphicFrame macro="">
      <xdr:nvGraphicFramePr>
        <xdr:cNvPr id="25" name="Chart 24">
          <a:extLst>
            <a:ext uri="{FF2B5EF4-FFF2-40B4-BE49-F238E27FC236}">
              <a16:creationId xmlns:a16="http://schemas.microsoft.com/office/drawing/2014/main" id="{00000000-0008-0000-07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136961</xdr:colOff>
      <xdr:row>11</xdr:row>
      <xdr:rowOff>173183</xdr:rowOff>
    </xdr:from>
    <xdr:to>
      <xdr:col>32</xdr:col>
      <xdr:colOff>15300</xdr:colOff>
      <xdr:row>25</xdr:row>
      <xdr:rowOff>162622</xdr:rowOff>
    </xdr:to>
    <xdr:graphicFrame macro="">
      <xdr:nvGraphicFramePr>
        <xdr:cNvPr id="26" name="Chart 25">
          <a:extLst>
            <a:ext uri="{FF2B5EF4-FFF2-40B4-BE49-F238E27FC236}">
              <a16:creationId xmlns:a16="http://schemas.microsoft.com/office/drawing/2014/main" id="{00000000-0008-0000-07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69022</xdr:colOff>
      <xdr:row>26</xdr:row>
      <xdr:rowOff>127374</xdr:rowOff>
    </xdr:from>
    <xdr:to>
      <xdr:col>19</xdr:col>
      <xdr:colOff>56637</xdr:colOff>
      <xdr:row>44</xdr:row>
      <xdr:rowOff>93051</xdr:rowOff>
    </xdr:to>
    <xdr:graphicFrame macro="">
      <xdr:nvGraphicFramePr>
        <xdr:cNvPr id="27" name="Chart 26">
          <a:extLst>
            <a:ext uri="{FF2B5EF4-FFF2-40B4-BE49-F238E27FC236}">
              <a16:creationId xmlns:a16="http://schemas.microsoft.com/office/drawing/2014/main" id="{00000000-0008-0000-07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156147</xdr:colOff>
      <xdr:row>26</xdr:row>
      <xdr:rowOff>116416</xdr:rowOff>
    </xdr:from>
    <xdr:to>
      <xdr:col>25</xdr:col>
      <xdr:colOff>361861</xdr:colOff>
      <xdr:row>44</xdr:row>
      <xdr:rowOff>121565</xdr:rowOff>
    </xdr:to>
    <xdr:sp macro="" textlink="">
      <xdr:nvSpPr>
        <xdr:cNvPr id="28" name="Rectangle: Rounded Corners 27">
          <a:extLst>
            <a:ext uri="{FF2B5EF4-FFF2-40B4-BE49-F238E27FC236}">
              <a16:creationId xmlns:a16="http://schemas.microsoft.com/office/drawing/2014/main" id="{00000000-0008-0000-0700-00001C000000}"/>
            </a:ext>
          </a:extLst>
        </xdr:cNvPr>
        <xdr:cNvSpPr/>
      </xdr:nvSpPr>
      <xdr:spPr>
        <a:xfrm>
          <a:off x="11812164" y="4873535"/>
          <a:ext cx="3886561" cy="3298538"/>
        </a:xfrm>
        <a:prstGeom prst="roundRect">
          <a:avLst>
            <a:gd name="adj" fmla="val 398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349897</xdr:colOff>
      <xdr:row>9</xdr:row>
      <xdr:rowOff>101024</xdr:rowOff>
    </xdr:from>
    <xdr:to>
      <xdr:col>3</xdr:col>
      <xdr:colOff>344407</xdr:colOff>
      <xdr:row>11</xdr:row>
      <xdr:rowOff>32288</xdr:rowOff>
    </xdr:to>
    <xdr:sp macro="" textlink="">
      <xdr:nvSpPr>
        <xdr:cNvPr id="37" name="TextBox 36">
          <a:extLst>
            <a:ext uri="{FF2B5EF4-FFF2-40B4-BE49-F238E27FC236}">
              <a16:creationId xmlns:a16="http://schemas.microsoft.com/office/drawing/2014/main" id="{00000000-0008-0000-0700-000025000000}"/>
            </a:ext>
          </a:extLst>
        </xdr:cNvPr>
        <xdr:cNvSpPr txBox="1"/>
      </xdr:nvSpPr>
      <xdr:spPr>
        <a:xfrm>
          <a:off x="963372" y="1747719"/>
          <a:ext cx="1221459" cy="297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293E1A"/>
              </a:solidFill>
            </a:rPr>
            <a:t>Pre-Analysis</a:t>
          </a:r>
        </a:p>
      </xdr:txBody>
    </xdr:sp>
    <xdr:clientData/>
  </xdr:twoCellAnchor>
  <xdr:twoCellAnchor>
    <xdr:from>
      <xdr:col>1</xdr:col>
      <xdr:colOff>274205</xdr:colOff>
      <xdr:row>22</xdr:row>
      <xdr:rowOff>101027</xdr:rowOff>
    </xdr:from>
    <xdr:to>
      <xdr:col>3</xdr:col>
      <xdr:colOff>387457</xdr:colOff>
      <xdr:row>24</xdr:row>
      <xdr:rowOff>53815</xdr:rowOff>
    </xdr:to>
    <xdr:sp macro="" textlink="">
      <xdr:nvSpPr>
        <xdr:cNvPr id="38" name="TextBox 37">
          <a:extLst>
            <a:ext uri="{FF2B5EF4-FFF2-40B4-BE49-F238E27FC236}">
              <a16:creationId xmlns:a16="http://schemas.microsoft.com/office/drawing/2014/main" id="{00000000-0008-0000-0700-000026000000}"/>
            </a:ext>
          </a:extLst>
        </xdr:cNvPr>
        <xdr:cNvSpPr txBox="1"/>
      </xdr:nvSpPr>
      <xdr:spPr>
        <a:xfrm>
          <a:off x="887680" y="4126281"/>
          <a:ext cx="1340201" cy="318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293E1A"/>
              </a:solidFill>
            </a:rPr>
            <a:t>Observations</a:t>
          </a:r>
        </a:p>
      </xdr:txBody>
    </xdr:sp>
    <xdr:clientData/>
  </xdr:twoCellAnchor>
  <xdr:twoCellAnchor>
    <xdr:from>
      <xdr:col>1</xdr:col>
      <xdr:colOff>436490</xdr:colOff>
      <xdr:row>35</xdr:row>
      <xdr:rowOff>8538</xdr:rowOff>
    </xdr:from>
    <xdr:to>
      <xdr:col>3</xdr:col>
      <xdr:colOff>57727</xdr:colOff>
      <xdr:row>36</xdr:row>
      <xdr:rowOff>86591</xdr:rowOff>
    </xdr:to>
    <xdr:sp macro="" textlink="">
      <xdr:nvSpPr>
        <xdr:cNvPr id="39" name="TextBox 38">
          <a:extLst>
            <a:ext uri="{FF2B5EF4-FFF2-40B4-BE49-F238E27FC236}">
              <a16:creationId xmlns:a16="http://schemas.microsoft.com/office/drawing/2014/main" id="{00000000-0008-0000-0700-000027000000}"/>
            </a:ext>
          </a:extLst>
        </xdr:cNvPr>
        <xdr:cNvSpPr txBox="1"/>
      </xdr:nvSpPr>
      <xdr:spPr>
        <a:xfrm>
          <a:off x="436490" y="6199788"/>
          <a:ext cx="833510" cy="2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293E1A"/>
              </a:solidFill>
            </a:rPr>
            <a:t>Insights </a:t>
          </a:r>
        </a:p>
      </xdr:txBody>
    </xdr:sp>
    <xdr:clientData/>
  </xdr:twoCellAnchor>
  <xdr:twoCellAnchor>
    <xdr:from>
      <xdr:col>19</xdr:col>
      <xdr:colOff>187376</xdr:colOff>
      <xdr:row>26</xdr:row>
      <xdr:rowOff>163041</xdr:rowOff>
    </xdr:from>
    <xdr:to>
      <xdr:col>25</xdr:col>
      <xdr:colOff>356741</xdr:colOff>
      <xdr:row>44</xdr:row>
      <xdr:rowOff>95253</xdr:rowOff>
    </xdr:to>
    <xdr:graphicFrame macro="">
      <xdr:nvGraphicFramePr>
        <xdr:cNvPr id="36" name="Chart 35">
          <a:extLst>
            <a:ext uri="{FF2B5EF4-FFF2-40B4-BE49-F238E27FC236}">
              <a16:creationId xmlns:a16="http://schemas.microsoft.com/office/drawing/2014/main" id="{00000000-0008-0000-07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478481</xdr:colOff>
      <xdr:row>26</xdr:row>
      <xdr:rowOff>126083</xdr:rowOff>
    </xdr:from>
    <xdr:to>
      <xdr:col>32</xdr:col>
      <xdr:colOff>23518</xdr:colOff>
      <xdr:row>44</xdr:row>
      <xdr:rowOff>85811</xdr:rowOff>
    </xdr:to>
    <xdr:sp macro="" textlink="">
      <xdr:nvSpPr>
        <xdr:cNvPr id="40" name="Rectangle: Rounded Corners 39">
          <a:extLst>
            <a:ext uri="{FF2B5EF4-FFF2-40B4-BE49-F238E27FC236}">
              <a16:creationId xmlns:a16="http://schemas.microsoft.com/office/drawing/2014/main" id="{00000000-0008-0000-0700-000028000000}"/>
            </a:ext>
          </a:extLst>
        </xdr:cNvPr>
        <xdr:cNvSpPr/>
      </xdr:nvSpPr>
      <xdr:spPr>
        <a:xfrm>
          <a:off x="15154037" y="4829787"/>
          <a:ext cx="3825407" cy="3346394"/>
        </a:xfrm>
        <a:prstGeom prst="roundRect">
          <a:avLst>
            <a:gd name="adj" fmla="val 3980"/>
          </a:avLst>
        </a:prstGeom>
        <a:solidFill>
          <a:schemeClr val="bg1"/>
        </a:solidFill>
        <a:ln>
          <a:noFill/>
        </a:ln>
        <a:effectLst>
          <a:outerShdw blurRad="50800" dist="38100" dir="8100000" algn="tr" rotWithShape="0">
            <a:schemeClr val="accent6">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519240</xdr:colOff>
      <xdr:row>29</xdr:row>
      <xdr:rowOff>144825</xdr:rowOff>
    </xdr:from>
    <xdr:to>
      <xdr:col>32</xdr:col>
      <xdr:colOff>0</xdr:colOff>
      <xdr:row>44</xdr:row>
      <xdr:rowOff>34637</xdr:rowOff>
    </xdr:to>
    <mc:AlternateContent xmlns:mc="http://schemas.openxmlformats.org/markup-compatibility/2006">
      <mc:Choice xmlns:cx1="http://schemas.microsoft.com/office/drawing/2015/9/8/chartex" Requires="cx1">
        <xdr:graphicFrame macro="">
          <xdr:nvGraphicFramePr>
            <xdr:cNvPr id="43" name="Chart 42">
              <a:extLst>
                <a:ext uri="{FF2B5EF4-FFF2-40B4-BE49-F238E27FC236}">
                  <a16:creationId xmlns:a16="http://schemas.microsoft.com/office/drawing/2014/main" id="{00000000-0008-0000-0700-00002B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5759240" y="5485175"/>
              <a:ext cx="3747960" cy="26520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267368</xdr:colOff>
      <xdr:row>28</xdr:row>
      <xdr:rowOff>55701</xdr:rowOff>
    </xdr:from>
    <xdr:to>
      <xdr:col>9</xdr:col>
      <xdr:colOff>574732</xdr:colOff>
      <xdr:row>44</xdr:row>
      <xdr:rowOff>21550</xdr:rowOff>
    </xdr:to>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C55C067C-039C-428D-8CC3-7B62154A1C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096168" y="5211901"/>
              <a:ext cx="3964964" cy="29122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168769</xdr:colOff>
      <xdr:row>5</xdr:row>
      <xdr:rowOff>177242</xdr:rowOff>
    </xdr:from>
    <xdr:to>
      <xdr:col>7</xdr:col>
      <xdr:colOff>88001</xdr:colOff>
      <xdr:row>7</xdr:row>
      <xdr:rowOff>120432</xdr:rowOff>
    </xdr:to>
    <xdr:graphicFrame macro="">
      <xdr:nvGraphicFramePr>
        <xdr:cNvPr id="44" name="Chart 43">
          <a:extLst>
            <a:ext uri="{FF2B5EF4-FFF2-40B4-BE49-F238E27FC236}">
              <a16:creationId xmlns:a16="http://schemas.microsoft.com/office/drawing/2014/main" id="{00000000-0008-0000-07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331356</xdr:colOff>
      <xdr:row>5</xdr:row>
      <xdr:rowOff>177258</xdr:rowOff>
    </xdr:from>
    <xdr:to>
      <xdr:col>11</xdr:col>
      <xdr:colOff>34050</xdr:colOff>
      <xdr:row>7</xdr:row>
      <xdr:rowOff>114203</xdr:rowOff>
    </xdr:to>
    <xdr:graphicFrame macro="">
      <xdr:nvGraphicFramePr>
        <xdr:cNvPr id="47" name="Chart 46">
          <a:extLst>
            <a:ext uri="{FF2B5EF4-FFF2-40B4-BE49-F238E27FC236}">
              <a16:creationId xmlns:a16="http://schemas.microsoft.com/office/drawing/2014/main" id="{00000000-0008-0000-07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162290</xdr:colOff>
      <xdr:row>5</xdr:row>
      <xdr:rowOff>164224</xdr:rowOff>
    </xdr:from>
    <xdr:to>
      <xdr:col>14</xdr:col>
      <xdr:colOff>550738</xdr:colOff>
      <xdr:row>7</xdr:row>
      <xdr:rowOff>81965</xdr:rowOff>
    </xdr:to>
    <xdr:graphicFrame macro="">
      <xdr:nvGraphicFramePr>
        <xdr:cNvPr id="48" name="Chart 47">
          <a:extLst>
            <a:ext uri="{FF2B5EF4-FFF2-40B4-BE49-F238E27FC236}">
              <a16:creationId xmlns:a16="http://schemas.microsoft.com/office/drawing/2014/main" id="{00000000-0008-0000-07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94386</xdr:colOff>
      <xdr:row>6</xdr:row>
      <xdr:rowOff>1</xdr:rowOff>
    </xdr:from>
    <xdr:to>
      <xdr:col>18</xdr:col>
      <xdr:colOff>410335</xdr:colOff>
      <xdr:row>7</xdr:row>
      <xdr:rowOff>147198</xdr:rowOff>
    </xdr:to>
    <xdr:graphicFrame macro="">
      <xdr:nvGraphicFramePr>
        <xdr:cNvPr id="49" name="Chart 48">
          <a:extLst>
            <a:ext uri="{FF2B5EF4-FFF2-40B4-BE49-F238E27FC236}">
              <a16:creationId xmlns:a16="http://schemas.microsoft.com/office/drawing/2014/main" id="{00000000-0008-0000-07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101023</xdr:colOff>
      <xdr:row>5</xdr:row>
      <xdr:rowOff>142328</xdr:rowOff>
    </xdr:from>
    <xdr:to>
      <xdr:col>22</xdr:col>
      <xdr:colOff>364514</xdr:colOff>
      <xdr:row>7</xdr:row>
      <xdr:rowOff>95198</xdr:rowOff>
    </xdr:to>
    <xdr:graphicFrame macro="">
      <xdr:nvGraphicFramePr>
        <xdr:cNvPr id="50" name="Chart 49">
          <a:extLst>
            <a:ext uri="{FF2B5EF4-FFF2-40B4-BE49-F238E27FC236}">
              <a16:creationId xmlns:a16="http://schemas.microsoft.com/office/drawing/2014/main" id="{00000000-0008-0000-07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xdr:col>
      <xdr:colOff>537725</xdr:colOff>
      <xdr:row>18</xdr:row>
      <xdr:rowOff>72167</xdr:rowOff>
    </xdr:from>
    <xdr:to>
      <xdr:col>2</xdr:col>
      <xdr:colOff>524373</xdr:colOff>
      <xdr:row>21</xdr:row>
      <xdr:rowOff>130256</xdr:rowOff>
    </xdr:to>
    <xdr:pic>
      <xdr:nvPicPr>
        <xdr:cNvPr id="21" name="Graphic 20" descr="Magnifying glass with solid fill">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37725" y="2937808"/>
          <a:ext cx="589085" cy="595397"/>
        </a:xfrm>
        <a:prstGeom prst="rect">
          <a:avLst/>
        </a:prstGeom>
      </xdr:spPr>
    </xdr:pic>
    <xdr:clientData/>
  </xdr:twoCellAnchor>
  <xdr:twoCellAnchor editAs="oneCell">
    <xdr:from>
      <xdr:col>1</xdr:col>
      <xdr:colOff>517605</xdr:colOff>
      <xdr:row>25</xdr:row>
      <xdr:rowOff>71765</xdr:rowOff>
    </xdr:from>
    <xdr:to>
      <xdr:col>2</xdr:col>
      <xdr:colOff>551548</xdr:colOff>
      <xdr:row>28</xdr:row>
      <xdr:rowOff>153620</xdr:rowOff>
    </xdr:to>
    <xdr:pic>
      <xdr:nvPicPr>
        <xdr:cNvPr id="29" name="Graphic 28" descr="Rocket with solid fill">
          <a:extLst>
            <a:ext uri="{FF2B5EF4-FFF2-40B4-BE49-F238E27FC236}">
              <a16:creationId xmlns:a16="http://schemas.microsoft.com/office/drawing/2014/main" id="{00000000-0008-0000-0700-00001D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517605" y="4389765"/>
          <a:ext cx="647777" cy="621604"/>
        </a:xfrm>
        <a:prstGeom prst="rect">
          <a:avLst/>
        </a:prstGeom>
      </xdr:spPr>
    </xdr:pic>
    <xdr:clientData/>
  </xdr:twoCellAnchor>
  <xdr:twoCellAnchor>
    <xdr:from>
      <xdr:col>1</xdr:col>
      <xdr:colOff>364227</xdr:colOff>
      <xdr:row>16</xdr:row>
      <xdr:rowOff>3028</xdr:rowOff>
    </xdr:from>
    <xdr:to>
      <xdr:col>3</xdr:col>
      <xdr:colOff>301356</xdr:colOff>
      <xdr:row>17</xdr:row>
      <xdr:rowOff>96864</xdr:rowOff>
    </xdr:to>
    <xdr:sp macro="" textlink="">
      <xdr:nvSpPr>
        <xdr:cNvPr id="52" name="TextBox 51">
          <a:extLst>
            <a:ext uri="{FF2B5EF4-FFF2-40B4-BE49-F238E27FC236}">
              <a16:creationId xmlns:a16="http://schemas.microsoft.com/office/drawing/2014/main" id="{00000000-0008-0000-0700-000034000000}"/>
            </a:ext>
          </a:extLst>
        </xdr:cNvPr>
        <xdr:cNvSpPr txBox="1"/>
      </xdr:nvSpPr>
      <xdr:spPr>
        <a:xfrm>
          <a:off x="977702" y="2930486"/>
          <a:ext cx="1164078" cy="276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293E1A"/>
              </a:solidFill>
            </a:rPr>
            <a:t>In</a:t>
          </a:r>
          <a:r>
            <a:rPr lang="en-US" sz="1600" b="1" baseline="0">
              <a:solidFill>
                <a:srgbClr val="293E1A"/>
              </a:solidFill>
            </a:rPr>
            <a:t> Analysis</a:t>
          </a:r>
          <a:endParaRPr lang="en-US" sz="1600" b="1">
            <a:solidFill>
              <a:srgbClr val="293E1A"/>
            </a:solidFill>
          </a:endParaRPr>
        </a:p>
      </xdr:txBody>
    </xdr:sp>
    <xdr:clientData/>
  </xdr:twoCellAnchor>
  <xdr:twoCellAnchor>
    <xdr:from>
      <xdr:col>1</xdr:col>
      <xdr:colOff>360232</xdr:colOff>
      <xdr:row>28</xdr:row>
      <xdr:rowOff>117889</xdr:rowOff>
    </xdr:from>
    <xdr:to>
      <xdr:col>3</xdr:col>
      <xdr:colOff>247542</xdr:colOff>
      <xdr:row>30</xdr:row>
      <xdr:rowOff>43051</xdr:rowOff>
    </xdr:to>
    <xdr:sp macro="" textlink="">
      <xdr:nvSpPr>
        <xdr:cNvPr id="53" name="TextBox 52">
          <a:extLst>
            <a:ext uri="{FF2B5EF4-FFF2-40B4-BE49-F238E27FC236}">
              <a16:creationId xmlns:a16="http://schemas.microsoft.com/office/drawing/2014/main" id="{00000000-0008-0000-0700-000035000000}"/>
            </a:ext>
          </a:extLst>
        </xdr:cNvPr>
        <xdr:cNvSpPr txBox="1"/>
      </xdr:nvSpPr>
      <xdr:spPr>
        <a:xfrm>
          <a:off x="973707" y="5240940"/>
          <a:ext cx="1114259" cy="291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50" b="1">
              <a:solidFill>
                <a:srgbClr val="293E1A"/>
              </a:solidFill>
            </a:rPr>
            <a:t>TO</a:t>
          </a:r>
          <a:r>
            <a:rPr lang="en-US" sz="1450" b="1" baseline="0">
              <a:solidFill>
                <a:srgbClr val="293E1A"/>
              </a:solidFill>
            </a:rPr>
            <a:t> DO LIST</a:t>
          </a:r>
          <a:endParaRPr lang="en-US" sz="1450" b="1">
            <a:solidFill>
              <a:srgbClr val="293E1A"/>
            </a:solidFill>
          </a:endParaRPr>
        </a:p>
      </xdr:txBody>
    </xdr:sp>
    <xdr:clientData/>
  </xdr:twoCellAnchor>
  <xdr:twoCellAnchor>
    <xdr:from>
      <xdr:col>1</xdr:col>
      <xdr:colOff>298620</xdr:colOff>
      <xdr:row>42</xdr:row>
      <xdr:rowOff>558</xdr:rowOff>
    </xdr:from>
    <xdr:to>
      <xdr:col>3</xdr:col>
      <xdr:colOff>387457</xdr:colOff>
      <xdr:row>43</xdr:row>
      <xdr:rowOff>107627</xdr:rowOff>
    </xdr:to>
    <xdr:sp macro="" textlink="">
      <xdr:nvSpPr>
        <xdr:cNvPr id="54" name="TextBox 53">
          <a:extLst>
            <a:ext uri="{FF2B5EF4-FFF2-40B4-BE49-F238E27FC236}">
              <a16:creationId xmlns:a16="http://schemas.microsoft.com/office/drawing/2014/main" id="{00000000-0008-0000-0700-000036000000}"/>
            </a:ext>
          </a:extLst>
        </xdr:cNvPr>
        <xdr:cNvSpPr txBox="1"/>
      </xdr:nvSpPr>
      <xdr:spPr>
        <a:xfrm>
          <a:off x="912095" y="7685134"/>
          <a:ext cx="1315786" cy="2900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293E1A"/>
              </a:solidFill>
            </a:rPr>
            <a:t>Post</a:t>
          </a:r>
          <a:r>
            <a:rPr lang="en-US" sz="1600" b="1" baseline="0">
              <a:solidFill>
                <a:srgbClr val="293E1A"/>
              </a:solidFill>
            </a:rPr>
            <a:t> Analysis</a:t>
          </a:r>
          <a:endParaRPr lang="en-US" sz="1600" b="1">
            <a:solidFill>
              <a:srgbClr val="293E1A"/>
            </a:solidFill>
          </a:endParaRPr>
        </a:p>
      </xdr:txBody>
    </xdr:sp>
    <xdr:clientData/>
  </xdr:twoCellAnchor>
  <xdr:twoCellAnchor editAs="oneCell">
    <xdr:from>
      <xdr:col>1</xdr:col>
      <xdr:colOff>461819</xdr:colOff>
      <xdr:row>31</xdr:row>
      <xdr:rowOff>65807</xdr:rowOff>
    </xdr:from>
    <xdr:to>
      <xdr:col>2</xdr:col>
      <xdr:colOff>553163</xdr:colOff>
      <xdr:row>35</xdr:row>
      <xdr:rowOff>46871</xdr:rowOff>
    </xdr:to>
    <xdr:pic>
      <xdr:nvPicPr>
        <xdr:cNvPr id="31" name="Graphic 30" descr="Bar graph with upward trend with solid fill">
          <a:extLst>
            <a:ext uri="{FF2B5EF4-FFF2-40B4-BE49-F238E27FC236}">
              <a16:creationId xmlns:a16="http://schemas.microsoft.com/office/drawing/2014/main" id="{00000000-0008-0000-0700-00001F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461819" y="5590307"/>
          <a:ext cx="694595" cy="743065"/>
        </a:xfrm>
        <a:prstGeom prst="rect">
          <a:avLst/>
        </a:prstGeom>
      </xdr:spPr>
    </xdr:pic>
    <xdr:clientData/>
  </xdr:twoCellAnchor>
  <xdr:twoCellAnchor>
    <xdr:from>
      <xdr:col>3</xdr:col>
      <xdr:colOff>579300</xdr:colOff>
      <xdr:row>7</xdr:row>
      <xdr:rowOff>94405</xdr:rowOff>
    </xdr:from>
    <xdr:to>
      <xdr:col>7</xdr:col>
      <xdr:colOff>172203</xdr:colOff>
      <xdr:row>9</xdr:row>
      <xdr:rowOff>43051</xdr:rowOff>
    </xdr:to>
    <xdr:sp macro="" textlink="">
      <xdr:nvSpPr>
        <xdr:cNvPr id="55" name="TextBox 54">
          <a:extLst>
            <a:ext uri="{FF2B5EF4-FFF2-40B4-BE49-F238E27FC236}">
              <a16:creationId xmlns:a16="http://schemas.microsoft.com/office/drawing/2014/main" id="{00000000-0008-0000-0700-000037000000}"/>
            </a:ext>
          </a:extLst>
        </xdr:cNvPr>
        <xdr:cNvSpPr txBox="1"/>
      </xdr:nvSpPr>
      <xdr:spPr>
        <a:xfrm>
          <a:off x="2419724" y="1375168"/>
          <a:ext cx="2046801" cy="314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bg1"/>
              </a:solidFill>
            </a:rPr>
            <a:t>Best Transactions Range</a:t>
          </a:r>
          <a:endParaRPr lang="en-US" sz="1400" b="1">
            <a:solidFill>
              <a:schemeClr val="bg1"/>
            </a:solidFill>
          </a:endParaRPr>
        </a:p>
      </xdr:txBody>
    </xdr:sp>
    <xdr:clientData/>
  </xdr:twoCellAnchor>
  <xdr:twoCellAnchor>
    <xdr:from>
      <xdr:col>4</xdr:col>
      <xdr:colOff>301356</xdr:colOff>
      <xdr:row>8</xdr:row>
      <xdr:rowOff>170721</xdr:rowOff>
    </xdr:from>
    <xdr:to>
      <xdr:col>6</xdr:col>
      <xdr:colOff>212310</xdr:colOff>
      <xdr:row>10</xdr:row>
      <xdr:rowOff>150678</xdr:rowOff>
    </xdr:to>
    <xdr:sp macro="" textlink="">
      <xdr:nvSpPr>
        <xdr:cNvPr id="56" name="TextBox 55">
          <a:extLst>
            <a:ext uri="{FF2B5EF4-FFF2-40B4-BE49-F238E27FC236}">
              <a16:creationId xmlns:a16="http://schemas.microsoft.com/office/drawing/2014/main" id="{00000000-0008-0000-0700-000038000000}"/>
            </a:ext>
          </a:extLst>
        </xdr:cNvPr>
        <xdr:cNvSpPr txBox="1"/>
      </xdr:nvSpPr>
      <xdr:spPr>
        <a:xfrm>
          <a:off x="2755254" y="1634450"/>
          <a:ext cx="1137903" cy="345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solidFill>
            </a:rPr>
            <a:t>0 - 1000</a:t>
          </a:r>
          <a:endParaRPr lang="en-US" sz="2000" b="1">
            <a:solidFill>
              <a:schemeClr val="bg1"/>
            </a:solidFill>
          </a:endParaRPr>
        </a:p>
      </xdr:txBody>
    </xdr:sp>
    <xdr:clientData/>
  </xdr:twoCellAnchor>
  <xdr:twoCellAnchor>
    <xdr:from>
      <xdr:col>8</xdr:col>
      <xdr:colOff>261582</xdr:colOff>
      <xdr:row>7</xdr:row>
      <xdr:rowOff>115930</xdr:rowOff>
    </xdr:from>
    <xdr:to>
      <xdr:col>11</xdr:col>
      <xdr:colOff>21526</xdr:colOff>
      <xdr:row>9</xdr:row>
      <xdr:rowOff>53814</xdr:rowOff>
    </xdr:to>
    <xdr:sp macro="" textlink="">
      <xdr:nvSpPr>
        <xdr:cNvPr id="57" name="TextBox 56">
          <a:extLst>
            <a:ext uri="{FF2B5EF4-FFF2-40B4-BE49-F238E27FC236}">
              <a16:creationId xmlns:a16="http://schemas.microsoft.com/office/drawing/2014/main" id="{00000000-0008-0000-0700-000039000000}"/>
            </a:ext>
          </a:extLst>
        </xdr:cNvPr>
        <xdr:cNvSpPr txBox="1"/>
      </xdr:nvSpPr>
      <xdr:spPr>
        <a:xfrm>
          <a:off x="5169379" y="1396693"/>
          <a:ext cx="1600367" cy="303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bg1"/>
              </a:solidFill>
              <a:effectLst/>
              <a:latin typeface="+mn-lt"/>
              <a:ea typeface="+mn-ea"/>
              <a:cs typeface="+mn-cs"/>
            </a:rPr>
            <a:t>Top</a:t>
          </a:r>
          <a:r>
            <a:rPr lang="en-US" sz="1400" b="1" baseline="0">
              <a:solidFill>
                <a:schemeClr val="bg1"/>
              </a:solidFill>
              <a:effectLst/>
              <a:latin typeface="+mn-lt"/>
              <a:ea typeface="+mn-ea"/>
              <a:cs typeface="+mn-cs"/>
            </a:rPr>
            <a:t> </a:t>
          </a:r>
          <a:r>
            <a:rPr lang="en-US" sz="1400" b="1">
              <a:solidFill>
                <a:schemeClr val="bg1"/>
              </a:solidFill>
              <a:effectLst/>
              <a:latin typeface="+mn-lt"/>
              <a:ea typeface="+mn-ea"/>
              <a:cs typeface="+mn-cs"/>
            </a:rPr>
            <a:t>Ship Cities</a:t>
          </a:r>
          <a:endParaRPr lang="en-US" sz="1400">
            <a:solidFill>
              <a:schemeClr val="bg1"/>
            </a:solidFill>
            <a:effectLst/>
          </a:endParaRPr>
        </a:p>
        <a:p>
          <a:endParaRPr lang="en-US" sz="1600" b="1">
            <a:solidFill>
              <a:srgbClr val="293E1A"/>
            </a:solidFill>
          </a:endParaRPr>
        </a:p>
      </xdr:txBody>
    </xdr:sp>
    <xdr:clientData/>
  </xdr:twoCellAnchor>
  <xdr:twoCellAnchor>
    <xdr:from>
      <xdr:col>11</xdr:col>
      <xdr:colOff>301488</xdr:colOff>
      <xdr:row>7</xdr:row>
      <xdr:rowOff>105167</xdr:rowOff>
    </xdr:from>
    <xdr:to>
      <xdr:col>14</xdr:col>
      <xdr:colOff>601580</xdr:colOff>
      <xdr:row>9</xdr:row>
      <xdr:rowOff>33421</xdr:rowOff>
    </xdr:to>
    <xdr:sp macro="" textlink="">
      <xdr:nvSpPr>
        <xdr:cNvPr id="58" name="TextBox 57">
          <a:extLst>
            <a:ext uri="{FF2B5EF4-FFF2-40B4-BE49-F238E27FC236}">
              <a16:creationId xmlns:a16="http://schemas.microsoft.com/office/drawing/2014/main" id="{00000000-0008-0000-0700-00003A000000}"/>
            </a:ext>
          </a:extLst>
        </xdr:cNvPr>
        <xdr:cNvSpPr txBox="1"/>
      </xdr:nvSpPr>
      <xdr:spPr>
        <a:xfrm>
          <a:off x="7041400" y="1430869"/>
          <a:ext cx="2138250" cy="307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bg1"/>
              </a:solidFill>
            </a:rPr>
            <a:t>Regional Lead by Revenue </a:t>
          </a:r>
          <a:endParaRPr lang="en-US" sz="1400" b="1">
            <a:solidFill>
              <a:schemeClr val="bg1"/>
            </a:solidFill>
          </a:endParaRPr>
        </a:p>
      </xdr:txBody>
    </xdr:sp>
    <xdr:clientData/>
  </xdr:twoCellAnchor>
  <xdr:twoCellAnchor>
    <xdr:from>
      <xdr:col>15</xdr:col>
      <xdr:colOff>311521</xdr:colOff>
      <xdr:row>7</xdr:row>
      <xdr:rowOff>105167</xdr:rowOff>
    </xdr:from>
    <xdr:to>
      <xdr:col>18</xdr:col>
      <xdr:colOff>389913</xdr:colOff>
      <xdr:row>9</xdr:row>
      <xdr:rowOff>49465</xdr:rowOff>
    </xdr:to>
    <xdr:sp macro="" textlink="">
      <xdr:nvSpPr>
        <xdr:cNvPr id="59" name="TextBox 58">
          <a:extLst>
            <a:ext uri="{FF2B5EF4-FFF2-40B4-BE49-F238E27FC236}">
              <a16:creationId xmlns:a16="http://schemas.microsoft.com/office/drawing/2014/main" id="{00000000-0008-0000-0700-00003B000000}"/>
            </a:ext>
          </a:extLst>
        </xdr:cNvPr>
        <xdr:cNvSpPr txBox="1"/>
      </xdr:nvSpPr>
      <xdr:spPr>
        <a:xfrm>
          <a:off x="9502310" y="1430869"/>
          <a:ext cx="1916550" cy="323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bg1"/>
              </a:solidFill>
            </a:rPr>
            <a:t> Most Efficient Month</a:t>
          </a:r>
          <a:endParaRPr lang="en-US" sz="1400" b="1">
            <a:solidFill>
              <a:schemeClr val="bg1"/>
            </a:solidFill>
          </a:endParaRPr>
        </a:p>
      </xdr:txBody>
    </xdr:sp>
    <xdr:clientData/>
  </xdr:twoCellAnchor>
  <xdr:twoCellAnchor>
    <xdr:from>
      <xdr:col>19</xdr:col>
      <xdr:colOff>474982</xdr:colOff>
      <xdr:row>7</xdr:row>
      <xdr:rowOff>105167</xdr:rowOff>
    </xdr:from>
    <xdr:to>
      <xdr:col>22</xdr:col>
      <xdr:colOff>74054</xdr:colOff>
      <xdr:row>8</xdr:row>
      <xdr:rowOff>175439</xdr:rowOff>
    </xdr:to>
    <xdr:sp macro="" textlink="">
      <xdr:nvSpPr>
        <xdr:cNvPr id="60" name="TextBox 59">
          <a:extLst>
            <a:ext uri="{FF2B5EF4-FFF2-40B4-BE49-F238E27FC236}">
              <a16:creationId xmlns:a16="http://schemas.microsoft.com/office/drawing/2014/main" id="{00000000-0008-0000-0700-00003C000000}"/>
            </a:ext>
          </a:extLst>
        </xdr:cNvPr>
        <xdr:cNvSpPr txBox="1"/>
      </xdr:nvSpPr>
      <xdr:spPr>
        <a:xfrm>
          <a:off x="12116649" y="1430869"/>
          <a:ext cx="1437230" cy="259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Sum</a:t>
          </a:r>
          <a:r>
            <a:rPr lang="en-US" sz="1400" b="1" baseline="0">
              <a:solidFill>
                <a:schemeClr val="bg1"/>
              </a:solidFill>
            </a:rPr>
            <a:t> of Revenue</a:t>
          </a:r>
          <a:endParaRPr lang="en-US" sz="1400" b="1">
            <a:solidFill>
              <a:schemeClr val="bg1"/>
            </a:solidFill>
          </a:endParaRPr>
        </a:p>
      </xdr:txBody>
    </xdr:sp>
    <xdr:clientData/>
  </xdr:twoCellAnchor>
  <xdr:twoCellAnchor>
    <xdr:from>
      <xdr:col>8</xdr:col>
      <xdr:colOff>265291</xdr:colOff>
      <xdr:row>8</xdr:row>
      <xdr:rowOff>161440</xdr:rowOff>
    </xdr:from>
    <xdr:to>
      <xdr:col>10</xdr:col>
      <xdr:colOff>275166</xdr:colOff>
      <xdr:row>10</xdr:row>
      <xdr:rowOff>116417</xdr:rowOff>
    </xdr:to>
    <xdr:sp macro="" textlink="">
      <xdr:nvSpPr>
        <xdr:cNvPr id="61" name="TextBox 60">
          <a:extLst>
            <a:ext uri="{FF2B5EF4-FFF2-40B4-BE49-F238E27FC236}">
              <a16:creationId xmlns:a16="http://schemas.microsoft.com/office/drawing/2014/main" id="{00000000-0008-0000-0700-00003D000000}"/>
            </a:ext>
          </a:extLst>
        </xdr:cNvPr>
        <xdr:cNvSpPr txBox="1"/>
      </xdr:nvSpPr>
      <xdr:spPr>
        <a:xfrm>
          <a:off x="5175958" y="1600773"/>
          <a:ext cx="1237541" cy="314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solidFill>
            </a:rPr>
            <a:t>New York</a:t>
          </a:r>
          <a:endParaRPr lang="en-US" sz="2000" b="1">
            <a:solidFill>
              <a:schemeClr val="bg1"/>
            </a:solidFill>
          </a:endParaRPr>
        </a:p>
      </xdr:txBody>
    </xdr:sp>
    <xdr:clientData/>
  </xdr:twoCellAnchor>
  <xdr:twoCellAnchor>
    <xdr:from>
      <xdr:col>25</xdr:col>
      <xdr:colOff>566475</xdr:colOff>
      <xdr:row>27</xdr:row>
      <xdr:rowOff>28844</xdr:rowOff>
    </xdr:from>
    <xdr:to>
      <xdr:col>27</xdr:col>
      <xdr:colOff>508419</xdr:colOff>
      <xdr:row>28</xdr:row>
      <xdr:rowOff>131560</xdr:rowOff>
    </xdr:to>
    <xdr:sp macro="" textlink="">
      <xdr:nvSpPr>
        <xdr:cNvPr id="63" name="TextBox 62">
          <a:extLst>
            <a:ext uri="{FF2B5EF4-FFF2-40B4-BE49-F238E27FC236}">
              <a16:creationId xmlns:a16="http://schemas.microsoft.com/office/drawing/2014/main" id="{00000000-0008-0000-0700-00003F000000}"/>
            </a:ext>
          </a:extLst>
        </xdr:cNvPr>
        <xdr:cNvSpPr txBox="1"/>
      </xdr:nvSpPr>
      <xdr:spPr>
        <a:xfrm>
          <a:off x="15298475" y="4526761"/>
          <a:ext cx="1169611" cy="2826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a:solidFill>
              <a:srgbClr val="293E1A"/>
            </a:solidFill>
          </a:endParaRPr>
        </a:p>
      </xdr:txBody>
    </xdr:sp>
    <xdr:clientData/>
  </xdr:twoCellAnchor>
  <xdr:twoCellAnchor editAs="oneCell">
    <xdr:from>
      <xdr:col>1</xdr:col>
      <xdr:colOff>461818</xdr:colOff>
      <xdr:row>5</xdr:row>
      <xdr:rowOff>158751</xdr:rowOff>
    </xdr:from>
    <xdr:to>
      <xdr:col>2</xdr:col>
      <xdr:colOff>587201</xdr:colOff>
      <xdr:row>9</xdr:row>
      <xdr:rowOff>139818</xdr:rowOff>
    </xdr:to>
    <xdr:pic>
      <xdr:nvPicPr>
        <xdr:cNvPr id="71" name="Graphic 70" descr="Daily calendar with solid fill">
          <a:extLst>
            <a:ext uri="{FF2B5EF4-FFF2-40B4-BE49-F238E27FC236}">
              <a16:creationId xmlns:a16="http://schemas.microsoft.com/office/drawing/2014/main" id="{00000000-0008-0000-0700-000047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461818" y="730251"/>
          <a:ext cx="728634" cy="743066"/>
        </a:xfrm>
        <a:prstGeom prst="rect">
          <a:avLst/>
        </a:prstGeom>
      </xdr:spPr>
    </xdr:pic>
    <xdr:clientData/>
  </xdr:twoCellAnchor>
  <xdr:twoCellAnchor editAs="oneCell">
    <xdr:from>
      <xdr:col>1</xdr:col>
      <xdr:colOff>447385</xdr:colOff>
      <xdr:row>11</xdr:row>
      <xdr:rowOff>158752</xdr:rowOff>
    </xdr:from>
    <xdr:to>
      <xdr:col>2</xdr:col>
      <xdr:colOff>572768</xdr:colOff>
      <xdr:row>15</xdr:row>
      <xdr:rowOff>139817</xdr:rowOff>
    </xdr:to>
    <xdr:pic>
      <xdr:nvPicPr>
        <xdr:cNvPr id="73" name="Graphic 72" descr="Person with idea with solid fill">
          <a:extLst>
            <a:ext uri="{FF2B5EF4-FFF2-40B4-BE49-F238E27FC236}">
              <a16:creationId xmlns:a16="http://schemas.microsoft.com/office/drawing/2014/main" id="{00000000-0008-0000-0700-000049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447385" y="1873252"/>
          <a:ext cx="728634" cy="743066"/>
        </a:xfrm>
        <a:prstGeom prst="rect">
          <a:avLst/>
        </a:prstGeom>
      </xdr:spPr>
    </xdr:pic>
    <xdr:clientData/>
  </xdr:twoCellAnchor>
  <xdr:twoCellAnchor editAs="oneCell">
    <xdr:from>
      <xdr:col>1</xdr:col>
      <xdr:colOff>476250</xdr:colOff>
      <xdr:row>37</xdr:row>
      <xdr:rowOff>173182</xdr:rowOff>
    </xdr:from>
    <xdr:to>
      <xdr:col>2</xdr:col>
      <xdr:colOff>601633</xdr:colOff>
      <xdr:row>41</xdr:row>
      <xdr:rowOff>154247</xdr:rowOff>
    </xdr:to>
    <xdr:pic>
      <xdr:nvPicPr>
        <xdr:cNvPr id="75" name="Graphic 74" descr="List with solid fill">
          <a:extLst>
            <a:ext uri="{FF2B5EF4-FFF2-40B4-BE49-F238E27FC236}">
              <a16:creationId xmlns:a16="http://schemas.microsoft.com/office/drawing/2014/main" id="{00000000-0008-0000-0700-00004B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476250" y="6739659"/>
          <a:ext cx="731520" cy="731520"/>
        </a:xfrm>
        <a:prstGeom prst="rect">
          <a:avLst/>
        </a:prstGeom>
      </xdr:spPr>
    </xdr:pic>
    <xdr:clientData/>
  </xdr:twoCellAnchor>
  <xdr:twoCellAnchor>
    <xdr:from>
      <xdr:col>3</xdr:col>
      <xdr:colOff>592668</xdr:colOff>
      <xdr:row>26</xdr:row>
      <xdr:rowOff>182479</xdr:rowOff>
    </xdr:from>
    <xdr:to>
      <xdr:col>9</xdr:col>
      <xdr:colOff>193729</xdr:colOff>
      <xdr:row>28</xdr:row>
      <xdr:rowOff>161441</xdr:rowOff>
    </xdr:to>
    <xdr:sp macro="" textlink="">
      <xdr:nvSpPr>
        <xdr:cNvPr id="77" name="TextBox 76">
          <a:extLst>
            <a:ext uri="{FF2B5EF4-FFF2-40B4-BE49-F238E27FC236}">
              <a16:creationId xmlns:a16="http://schemas.microsoft.com/office/drawing/2014/main" id="{00000000-0008-0000-0700-00004D000000}"/>
            </a:ext>
          </a:extLst>
        </xdr:cNvPr>
        <xdr:cNvSpPr txBox="1"/>
      </xdr:nvSpPr>
      <xdr:spPr>
        <a:xfrm>
          <a:off x="2433092" y="4939598"/>
          <a:ext cx="3281908" cy="344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293E1A"/>
              </a:solidFill>
            </a:rPr>
            <a:t>State</a:t>
          </a:r>
          <a:r>
            <a:rPr lang="en-US" sz="1800" b="1" baseline="0">
              <a:solidFill>
                <a:srgbClr val="293E1A"/>
              </a:solidFill>
            </a:rPr>
            <a:t> Performance by Revenue</a:t>
          </a:r>
          <a:endParaRPr lang="en-US" sz="1800" b="1">
            <a:solidFill>
              <a:srgbClr val="293E1A"/>
            </a:solidFill>
          </a:endParaRPr>
        </a:p>
      </xdr:txBody>
    </xdr:sp>
    <xdr:clientData/>
  </xdr:twoCellAnchor>
  <xdr:twoCellAnchor>
    <xdr:from>
      <xdr:col>12</xdr:col>
      <xdr:colOff>297336</xdr:colOff>
      <xdr:row>8</xdr:row>
      <xdr:rowOff>164319</xdr:rowOff>
    </xdr:from>
    <xdr:to>
      <xdr:col>13</xdr:col>
      <xdr:colOff>530262</xdr:colOff>
      <xdr:row>10</xdr:row>
      <xdr:rowOff>107657</xdr:rowOff>
    </xdr:to>
    <xdr:sp macro="" textlink="">
      <xdr:nvSpPr>
        <xdr:cNvPr id="62" name="TextBox 61">
          <a:extLst>
            <a:ext uri="{FF2B5EF4-FFF2-40B4-BE49-F238E27FC236}">
              <a16:creationId xmlns:a16="http://schemas.microsoft.com/office/drawing/2014/main" id="{50D5D8FF-BB38-4702-A943-89916B930656}"/>
            </a:ext>
          </a:extLst>
        </xdr:cNvPr>
        <xdr:cNvSpPr txBox="1"/>
      </xdr:nvSpPr>
      <xdr:spPr>
        <a:xfrm>
          <a:off x="7663336" y="1603652"/>
          <a:ext cx="846759" cy="303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solidFill>
            </a:rPr>
            <a:t>Nancy</a:t>
          </a:r>
          <a:endParaRPr lang="en-US" sz="2000" b="1">
            <a:solidFill>
              <a:schemeClr val="bg1"/>
            </a:solidFill>
          </a:endParaRPr>
        </a:p>
      </xdr:txBody>
    </xdr:sp>
    <xdr:clientData/>
  </xdr:twoCellAnchor>
  <xdr:twoCellAnchor>
    <xdr:from>
      <xdr:col>16</xdr:col>
      <xdr:colOff>718</xdr:colOff>
      <xdr:row>8</xdr:row>
      <xdr:rowOff>140095</xdr:rowOff>
    </xdr:from>
    <xdr:to>
      <xdr:col>18</xdr:col>
      <xdr:colOff>95249</xdr:colOff>
      <xdr:row>10</xdr:row>
      <xdr:rowOff>74083</xdr:rowOff>
    </xdr:to>
    <xdr:sp macro="" textlink="">
      <xdr:nvSpPr>
        <xdr:cNvPr id="64" name="TextBox 63">
          <a:extLst>
            <a:ext uri="{FF2B5EF4-FFF2-40B4-BE49-F238E27FC236}">
              <a16:creationId xmlns:a16="http://schemas.microsoft.com/office/drawing/2014/main" id="{FDDB8EE1-EB76-433C-B094-143C71BD17F9}"/>
            </a:ext>
          </a:extLst>
        </xdr:cNvPr>
        <xdr:cNvSpPr txBox="1"/>
      </xdr:nvSpPr>
      <xdr:spPr>
        <a:xfrm>
          <a:off x="9822051" y="1579428"/>
          <a:ext cx="1322198" cy="293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solidFill>
            </a:rPr>
            <a:t>December</a:t>
          </a:r>
          <a:endParaRPr lang="en-US" sz="2000" b="1">
            <a:solidFill>
              <a:schemeClr val="bg1"/>
            </a:solidFill>
          </a:endParaRPr>
        </a:p>
      </xdr:txBody>
    </xdr:sp>
    <xdr:clientData/>
  </xdr:twoCellAnchor>
  <xdr:twoCellAnchor>
    <xdr:from>
      <xdr:col>20</xdr:col>
      <xdr:colOff>139915</xdr:colOff>
      <xdr:row>8</xdr:row>
      <xdr:rowOff>157705</xdr:rowOff>
    </xdr:from>
    <xdr:to>
      <xdr:col>21</xdr:col>
      <xdr:colOff>494146</xdr:colOff>
      <xdr:row>10</xdr:row>
      <xdr:rowOff>149603</xdr:rowOff>
    </xdr:to>
    <xdr:sp macro="" textlink="">
      <xdr:nvSpPr>
        <xdr:cNvPr id="65" name="TextBox 64">
          <a:extLst>
            <a:ext uri="{FF2B5EF4-FFF2-40B4-BE49-F238E27FC236}">
              <a16:creationId xmlns:a16="http://schemas.microsoft.com/office/drawing/2014/main" id="{0F1CDB35-11A3-4A43-BB3F-322B525899A3}"/>
            </a:ext>
          </a:extLst>
        </xdr:cNvPr>
        <xdr:cNvSpPr txBox="1"/>
      </xdr:nvSpPr>
      <xdr:spPr>
        <a:xfrm>
          <a:off x="12416582" y="1597038"/>
          <a:ext cx="968064" cy="351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solidFill>
            </a:rPr>
            <a:t>$435k</a:t>
          </a:r>
          <a:endParaRPr lang="en-US" sz="2000" b="1">
            <a:solidFill>
              <a:schemeClr val="bg1"/>
            </a:solidFill>
          </a:endParaRPr>
        </a:p>
      </xdr:txBody>
    </xdr:sp>
    <xdr:clientData/>
  </xdr:twoCellAnchor>
  <xdr:twoCellAnchor>
    <xdr:from>
      <xdr:col>25</xdr:col>
      <xdr:colOff>498763</xdr:colOff>
      <xdr:row>27</xdr:row>
      <xdr:rowOff>65811</xdr:rowOff>
    </xdr:from>
    <xdr:to>
      <xdr:col>30</xdr:col>
      <xdr:colOff>602712</xdr:colOff>
      <xdr:row>29</xdr:row>
      <xdr:rowOff>10762</xdr:rowOff>
    </xdr:to>
    <xdr:sp macro="" textlink="">
      <xdr:nvSpPr>
        <xdr:cNvPr id="67" name="TextBox 66">
          <a:extLst>
            <a:ext uri="{FF2B5EF4-FFF2-40B4-BE49-F238E27FC236}">
              <a16:creationId xmlns:a16="http://schemas.microsoft.com/office/drawing/2014/main" id="{C2C96E7F-50A8-42FE-97FB-8CE191CDF379}"/>
            </a:ext>
          </a:extLst>
        </xdr:cNvPr>
        <xdr:cNvSpPr txBox="1"/>
      </xdr:nvSpPr>
      <xdr:spPr>
        <a:xfrm>
          <a:off x="15835627" y="5005896"/>
          <a:ext cx="3171322" cy="310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293E1A"/>
              </a:solidFill>
            </a:rPr>
            <a:t>Top</a:t>
          </a:r>
          <a:r>
            <a:rPr lang="en-US" sz="1800" b="1" baseline="0">
              <a:solidFill>
                <a:srgbClr val="293E1A"/>
              </a:solidFill>
            </a:rPr>
            <a:t> 6 Ship Cities by Revenue </a:t>
          </a:r>
          <a:endParaRPr lang="en-US" sz="1800" b="1">
            <a:solidFill>
              <a:srgbClr val="293E1A"/>
            </a:solidFill>
          </a:endParaRPr>
        </a:p>
      </xdr:txBody>
    </xdr:sp>
    <xdr:clientData/>
  </xdr:twoCellAnchor>
  <xdr:twoCellAnchor>
    <xdr:from>
      <xdr:col>19</xdr:col>
      <xdr:colOff>163612</xdr:colOff>
      <xdr:row>26</xdr:row>
      <xdr:rowOff>113813</xdr:rowOff>
    </xdr:from>
    <xdr:to>
      <xdr:col>22</xdr:col>
      <xdr:colOff>437432</xdr:colOff>
      <xdr:row>28</xdr:row>
      <xdr:rowOff>105728</xdr:rowOff>
    </xdr:to>
    <xdr:sp macro="" textlink="">
      <xdr:nvSpPr>
        <xdr:cNvPr id="68" name="TextBox 67">
          <a:extLst>
            <a:ext uri="{FF2B5EF4-FFF2-40B4-BE49-F238E27FC236}">
              <a16:creationId xmlns:a16="http://schemas.microsoft.com/office/drawing/2014/main" id="{E5521C08-C574-4E9A-88FA-C5C1CDC0A5A9}"/>
            </a:ext>
          </a:extLst>
        </xdr:cNvPr>
        <xdr:cNvSpPr txBox="1"/>
      </xdr:nvSpPr>
      <xdr:spPr>
        <a:xfrm>
          <a:off x="11819629" y="4870932"/>
          <a:ext cx="2114244" cy="357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293E1A"/>
              </a:solidFill>
            </a:rPr>
            <a:t>Top</a:t>
          </a:r>
          <a:r>
            <a:rPr lang="en-US" sz="1800" b="1" baseline="0">
              <a:solidFill>
                <a:srgbClr val="293E1A"/>
              </a:solidFill>
            </a:rPr>
            <a:t> 10 Customers</a:t>
          </a:r>
          <a:endParaRPr lang="en-US" sz="1800" b="1">
            <a:solidFill>
              <a:srgbClr val="293E1A"/>
            </a:solidFill>
          </a:endParaRPr>
        </a:p>
      </xdr:txBody>
    </xdr:sp>
    <xdr:clientData/>
  </xdr:twoCellAnchor>
  <xdr:twoCellAnchor editAs="oneCell">
    <xdr:from>
      <xdr:col>23</xdr:col>
      <xdr:colOff>81020</xdr:colOff>
      <xdr:row>8</xdr:row>
      <xdr:rowOff>89776</xdr:rowOff>
    </xdr:from>
    <xdr:to>
      <xdr:col>31</xdr:col>
      <xdr:colOff>525519</xdr:colOff>
      <xdr:row>10</xdr:row>
      <xdr:rowOff>131379</xdr:rowOff>
    </xdr:to>
    <mc:AlternateContent xmlns:mc="http://schemas.openxmlformats.org/markup-compatibility/2006" xmlns:a14="http://schemas.microsoft.com/office/drawing/2010/main">
      <mc:Choice Requires="a14">
        <xdr:graphicFrame macro="">
          <xdr:nvGraphicFramePr>
            <xdr:cNvPr id="14" name="Product Name">
              <a:extLst>
                <a:ext uri="{FF2B5EF4-FFF2-40B4-BE49-F238E27FC236}">
                  <a16:creationId xmlns:a16="http://schemas.microsoft.com/office/drawing/2014/main" id="{7CADC5FB-EFD6-423D-A59A-13DE375C0349}"/>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4190935" y="1553505"/>
              <a:ext cx="5352296" cy="407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76639</xdr:colOff>
      <xdr:row>6</xdr:row>
      <xdr:rowOff>21896</xdr:rowOff>
    </xdr:from>
    <xdr:to>
      <xdr:col>31</xdr:col>
      <xdr:colOff>503618</xdr:colOff>
      <xdr:row>8</xdr:row>
      <xdr:rowOff>66842</xdr:rowOff>
    </xdr:to>
    <mc:AlternateContent xmlns:mc="http://schemas.openxmlformats.org/markup-compatibility/2006" xmlns:a14="http://schemas.microsoft.com/office/drawing/2010/main">
      <mc:Choice Requires="a14">
        <xdr:graphicFrame macro="">
          <xdr:nvGraphicFramePr>
            <xdr:cNvPr id="16" name="Salesperson">
              <a:extLst>
                <a:ext uri="{FF2B5EF4-FFF2-40B4-BE49-F238E27FC236}">
                  <a16:creationId xmlns:a16="http://schemas.microsoft.com/office/drawing/2014/main" id="{5A8780D6-EFAD-4744-87DC-99CBCFE7A919}"/>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4186554" y="1119693"/>
              <a:ext cx="5334776" cy="376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334210</xdr:colOff>
      <xdr:row>44</xdr:row>
      <xdr:rowOff>69627</xdr:rowOff>
    </xdr:from>
    <xdr:to>
      <xdr:col>31</xdr:col>
      <xdr:colOff>389910</xdr:colOff>
      <xdr:row>45</xdr:row>
      <xdr:rowOff>91908</xdr:rowOff>
    </xdr:to>
    <xdr:sp macro="" textlink="">
      <xdr:nvSpPr>
        <xdr:cNvPr id="13" name="Rectangle 12">
          <a:extLst>
            <a:ext uri="{FF2B5EF4-FFF2-40B4-BE49-F238E27FC236}">
              <a16:creationId xmlns:a16="http://schemas.microsoft.com/office/drawing/2014/main" id="{FFF1CB3B-DBBD-40F6-92B3-4EC72D3A3463}"/>
            </a:ext>
          </a:extLst>
        </xdr:cNvPr>
        <xdr:cNvSpPr/>
      </xdr:nvSpPr>
      <xdr:spPr>
        <a:xfrm>
          <a:off x="18237682" y="7830738"/>
          <a:ext cx="1290422" cy="1986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6">
                  <a:lumMod val="50000"/>
                </a:schemeClr>
              </a:solidFill>
            </a:rPr>
            <a:t>CC.</a:t>
          </a:r>
          <a:r>
            <a:rPr lang="en-US" sz="1100" baseline="0">
              <a:solidFill>
                <a:schemeClr val="accent6">
                  <a:lumMod val="50000"/>
                </a:schemeClr>
              </a:solidFill>
            </a:rPr>
            <a:t> Victor Ogu</a:t>
          </a:r>
          <a:endParaRPr lang="en-US" sz="1100">
            <a:solidFill>
              <a:schemeClr val="accent6">
                <a:lumMod val="50000"/>
              </a:schemeClr>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565149</xdr:colOff>
      <xdr:row>1</xdr:row>
      <xdr:rowOff>82549</xdr:rowOff>
    </xdr:from>
    <xdr:to>
      <xdr:col>20</xdr:col>
      <xdr:colOff>463650</xdr:colOff>
      <xdr:row>88</xdr:row>
      <xdr:rowOff>161270</xdr:rowOff>
    </xdr:to>
    <xdr:sp macro="" textlink="">
      <xdr:nvSpPr>
        <xdr:cNvPr id="2" name="TextBox 1">
          <a:extLst>
            <a:ext uri="{FF2B5EF4-FFF2-40B4-BE49-F238E27FC236}">
              <a16:creationId xmlns:a16="http://schemas.microsoft.com/office/drawing/2014/main" id="{BD5B363A-07F5-485D-B701-C0271E12544B}"/>
            </a:ext>
          </a:extLst>
        </xdr:cNvPr>
        <xdr:cNvSpPr txBox="1"/>
      </xdr:nvSpPr>
      <xdr:spPr>
        <a:xfrm>
          <a:off x="565149" y="263978"/>
          <a:ext cx="11993739" cy="15863006"/>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Post Analysis</a:t>
          </a:r>
          <a:r>
            <a:rPr lang="en-US" sz="1400" b="1" baseline="0"/>
            <a:t> Insights</a:t>
          </a:r>
        </a:p>
        <a:p>
          <a:endParaRPr lang="en-US" sz="1200" b="1" baseline="0"/>
        </a:p>
        <a:p>
          <a:r>
            <a:rPr lang="en-US" sz="1200" b="1" baseline="0"/>
            <a:t>Focus 1:</a:t>
          </a:r>
        </a:p>
        <a:p>
          <a:r>
            <a:rPr lang="en-US" sz="1200" b="1" baseline="0"/>
            <a:t>SALES PERSONS</a:t>
          </a:r>
        </a:p>
        <a:p>
          <a:endParaRPr lang="en-US" sz="1200" b="0" baseline="0"/>
        </a:p>
        <a:p>
          <a:r>
            <a:rPr lang="en-US" sz="1200" b="0"/>
            <a:t>1. </a:t>
          </a:r>
          <a:r>
            <a:rPr lang="en-US" sz="1200" b="1"/>
            <a:t>Andrew Cencini (North Region)</a:t>
          </a:r>
        </a:p>
        <a:p>
          <a:r>
            <a:rPr lang="en-US" sz="1200" b="0"/>
            <a:t>Andrew generated a total revenue of $67,180.50, supplying exclusively to Company D.</a:t>
          </a:r>
        </a:p>
        <a:p>
          <a:r>
            <a:rPr lang="en-US" sz="1200" b="0"/>
            <a:t>His product strength leaned toward James preserves, dried fruits, pasta grains, and baked goods, although baked goods performed the weakest. His highest sales were recorded in June, while April showed the lowest performance.</a:t>
          </a:r>
        </a:p>
        <a:p>
          <a:r>
            <a:rPr lang="en-US" sz="1200" b="0"/>
            <a:t>However, his monthly trend revealed significant fluctuations, with no consistent growth pattern throughout the year.</a:t>
          </a:r>
        </a:p>
        <a:p>
          <a:r>
            <a:rPr lang="en-US" sz="1200" b="0"/>
            <a:t>Insight:</a:t>
          </a:r>
          <a:br>
            <a:rPr lang="en-US" sz="1200" b="0"/>
          </a:br>
          <a:r>
            <a:rPr lang="en-US" sz="1200" b="0"/>
            <a:t>Andrew’s dependence on a single client exposes him to high business risk. The absence of steady growth suggests he may benefit from diversifying his customer base and stabilizing product demand through targeted promotions.</a:t>
          </a:r>
        </a:p>
        <a:p>
          <a:endParaRPr lang="en-US" sz="1200" b="0"/>
        </a:p>
        <a:p>
          <a:r>
            <a:rPr lang="en-US" sz="1200" b="0"/>
            <a:t>2. </a:t>
          </a:r>
          <a:r>
            <a:rPr lang="en-US" sz="1200" b="1"/>
            <a:t>Anne Larsen (South Region)</a:t>
          </a:r>
        </a:p>
        <a:p>
          <a:r>
            <a:rPr lang="en-US" sz="1200" b="0"/>
            <a:t>Anne recorded total annual revenue of $93,858.33, supplying to Company BB, K, and Z.</a:t>
          </a:r>
        </a:p>
        <a:p>
          <a:r>
            <a:rPr lang="en-US" sz="1200" b="0"/>
            <a:t>Her strongest product categories were Beverages and Canned Meat, generating over $19,000, outperforming all other products.</a:t>
          </a:r>
        </a:p>
        <a:p>
          <a:r>
            <a:rPr lang="en-US" sz="1200" b="0"/>
            <a:t>Insight:</a:t>
          </a:r>
          <a:br>
            <a:rPr lang="en-US" sz="1200" b="0"/>
          </a:br>
          <a:r>
            <a:rPr lang="en-US" sz="1200" b="0"/>
            <a:t>Anne’s success appears to be driven by both product specialization and customer diversification. Her ability to supply multiple companies while focusing on high-demand products significantly strengthened her revenue base. She represents a balanced and scalable sales model.</a:t>
          </a:r>
        </a:p>
        <a:p>
          <a:endParaRPr lang="en-US" sz="1200" b="0"/>
        </a:p>
        <a:p>
          <a:r>
            <a:rPr lang="en-US" sz="1200" b="0"/>
            <a:t>3. </a:t>
          </a:r>
          <a:r>
            <a:rPr lang="en-US" sz="1200" b="1"/>
            <a:t>Jan Kotas (West Region)</a:t>
          </a:r>
        </a:p>
        <a:p>
          <a:r>
            <a:rPr lang="en-US" sz="1200" b="0"/>
            <a:t>Jan recorded the lowest total revenue among the group at $16,350. She sold only three product categories: Beverages, Vegetables, and Candy, mainly to Company CC.</a:t>
          </a:r>
        </a:p>
        <a:p>
          <a:r>
            <a:rPr lang="en-US" sz="1200" b="0"/>
            <a:t>Insight:</a:t>
          </a:r>
          <a:br>
            <a:rPr lang="en-US" sz="1200" b="0"/>
          </a:br>
          <a:r>
            <a:rPr lang="en-US" sz="1200" b="0"/>
            <a:t>Limited product range and customer concentration likely constrained her revenue potential. Expanding into additional product categories or targeting new clients could significantly improve performance.</a:t>
          </a:r>
        </a:p>
        <a:p>
          <a:endParaRPr lang="en-US" sz="1200" b="0"/>
        </a:p>
        <a:p>
          <a:r>
            <a:rPr lang="en-US" sz="1200" b="0"/>
            <a:t>4. </a:t>
          </a:r>
          <a:r>
            <a:rPr lang="en-US" sz="1200" b="1"/>
            <a:t>Laura Guissani (East Region)</a:t>
          </a:r>
        </a:p>
        <a:p>
          <a:r>
            <a:rPr lang="en-US" sz="1200" b="0"/>
            <a:t>Laura generated $41,095.01 in total revenue, selling primarily to Company J and Company Y.</a:t>
          </a:r>
        </a:p>
        <a:p>
          <a:r>
            <a:rPr lang="en-US" sz="1200" b="0"/>
            <a:t>She handled five product categories: Condiments, Baked Foods, Jams, Dried Fruits, and Beverages — with Beverages generating the least revenue.</a:t>
          </a:r>
        </a:p>
        <a:p>
          <a:r>
            <a:rPr lang="en-US" sz="1200" b="0"/>
            <a:t>Her highest-performing month was June ($6,700), followed closely by December ($6,617.69), while March was her weakest month.</a:t>
          </a:r>
        </a:p>
        <a:p>
          <a:r>
            <a:rPr lang="en-US" sz="1200" b="0"/>
            <a:t>Insight:</a:t>
          </a:r>
          <a:br>
            <a:rPr lang="en-US" sz="1200" b="0"/>
          </a:br>
          <a:r>
            <a:rPr lang="en-US" sz="1200" b="0"/>
            <a:t>Laura shows moderate performance with strong mid-year and year-end peaks. However, beverages underperforming suggests either low demand in her region or insufficient marketing. Product re-strategizing may improve outcomes.</a:t>
          </a:r>
        </a:p>
        <a:p>
          <a:endParaRPr lang="en-US" sz="1200" b="0"/>
        </a:p>
        <a:p>
          <a:r>
            <a:rPr lang="en-US" sz="1200" b="0"/>
            <a:t>5. </a:t>
          </a:r>
          <a:r>
            <a:rPr lang="en-US" sz="1200" b="1"/>
            <a:t>Mariya Sergienko (West Region)</a:t>
          </a:r>
        </a:p>
        <a:p>
          <a:r>
            <a:rPr lang="en-US" sz="1200" b="0"/>
            <a:t>Mariya generated $43,370 in total revenue, supplying to Company C, Company AA, and Company L.</a:t>
          </a:r>
        </a:p>
        <a:p>
          <a:r>
            <a:rPr lang="en-US" sz="1200" b="0"/>
            <a:t>She focused on Sauces, Beverages, Condiments, Soups, and Dried Fruits. Notably, over 45% of her revenue ($18,000) came from Sauces alone.</a:t>
          </a:r>
        </a:p>
        <a:p>
          <a:r>
            <a:rPr lang="en-US" sz="1200" b="0"/>
            <a:t>Her best month was December ($7,653.16).</a:t>
          </a:r>
        </a:p>
        <a:p>
          <a:r>
            <a:rPr lang="en-US" sz="1200" b="0"/>
            <a:t>Insight:</a:t>
          </a:r>
          <a:br>
            <a:rPr lang="en-US" sz="1200" b="0"/>
          </a:br>
          <a:r>
            <a:rPr lang="en-US" sz="1200" b="0"/>
            <a:t>Mariya’s performance demonstrates the power of product specialization. Sauces clearly drive her business. However, this also means heavy dependence on one product category. Diversifying revenue contributions across products could reduce risk.</a:t>
          </a:r>
        </a:p>
        <a:p>
          <a:endParaRPr lang="en-US" sz="1200" b="0"/>
        </a:p>
        <a:p>
          <a:r>
            <a:rPr lang="en-US" sz="1200" b="0"/>
            <a:t>6. </a:t>
          </a:r>
          <a:r>
            <a:rPr lang="en-US" sz="1200" b="1"/>
            <a:t>Michael Neipper (North Region)</a:t>
          </a:r>
        </a:p>
        <a:p>
          <a:r>
            <a:rPr lang="en-US" sz="1200" b="0"/>
            <a:t>Michael generated $37,428, supplying exclusively to Company F.</a:t>
          </a:r>
        </a:p>
        <a:p>
          <a:r>
            <a:rPr lang="en-US" sz="1200" b="0"/>
            <a:t>His top-performing month was October ($6,738.50). His product mix included Beverages, Sauces, Candy, Dried Fruits, and Shopping Fees.</a:t>
          </a:r>
        </a:p>
        <a:p>
          <a:r>
            <a:rPr lang="en-US" sz="1200" b="0"/>
            <a:t>Insight:</a:t>
          </a:r>
          <a:br>
            <a:rPr lang="en-US" sz="1200" b="0"/>
          </a:br>
          <a:r>
            <a:rPr lang="en-US" sz="1200" b="0"/>
            <a:t>Like Andrew, Michael’s reliance on a single company presents a risk. However, his strong October performance suggests potential seasonal demand that could be explored further.</a:t>
          </a:r>
        </a:p>
        <a:p>
          <a:endParaRPr lang="en-US" sz="1200" b="0"/>
        </a:p>
        <a:p>
          <a:r>
            <a:rPr lang="en-US" sz="1200" b="0"/>
            <a:t>7. </a:t>
          </a:r>
          <a:r>
            <a:rPr lang="en-US" sz="1200" b="1"/>
            <a:t>Nancy Freehafer</a:t>
          </a:r>
        </a:p>
        <a:p>
          <a:r>
            <a:rPr lang="en-US" sz="1200" b="0"/>
            <a:t>Nancy emerged as the top-performing salesperson, generating $104,252.34 in total revenue.</a:t>
          </a:r>
        </a:p>
        <a:p>
          <a:r>
            <a:rPr lang="en-US" sz="1200" b="0"/>
            <a:t>She supplied Beverages, Sauces, Dried Fruits, Canned Meat, and Candy to Company H, Company G, and Company A.</a:t>
          </a:r>
        </a:p>
        <a:p>
          <a:r>
            <a:rPr lang="en-US" sz="1200" b="0"/>
            <a:t>Her strongest month was December ($16,173.36), while February recorded the lowest sales ($1,693.95).</a:t>
          </a:r>
        </a:p>
        <a:p>
          <a:r>
            <a:rPr lang="en-US" sz="1200" b="0"/>
            <a:t>Insight:</a:t>
          </a:r>
          <a:br>
            <a:rPr lang="en-US" sz="1200" b="0"/>
          </a:br>
          <a:r>
            <a:rPr lang="en-US" sz="1200" b="0"/>
            <a:t>Nancy’s performance reflects a strong combination of diversified clients and broad product offerings. December’s high spike indicates strong seasonal demand. She stands out as the most strategically positioned salesperson in the group.</a:t>
          </a:r>
        </a:p>
        <a:p>
          <a:endParaRPr lang="en-US" sz="1200" b="0"/>
        </a:p>
        <a:p>
          <a:r>
            <a:rPr lang="en-US" sz="1200" b="0"/>
            <a:t>8. </a:t>
          </a:r>
          <a:r>
            <a:rPr lang="en-US" sz="1200" b="1"/>
            <a:t>Robert Zare (West Region)</a:t>
          </a:r>
        </a:p>
        <a:p>
          <a:r>
            <a:rPr lang="en-US" sz="1200" b="0"/>
            <a:t>Robert generated $32,530, focusing on three product categories: Dairy Products, Pasta, and Soups.</a:t>
          </a:r>
        </a:p>
        <a:p>
          <a:r>
            <a:rPr lang="en-US" sz="1200" b="0"/>
            <a:t>She primarily supplied Company I. Her highest-performing month was June.</a:t>
          </a:r>
        </a:p>
        <a:p>
          <a:r>
            <a:rPr lang="en-US" sz="1200" b="0"/>
            <a:t>Insight:</a:t>
          </a:r>
          <a:br>
            <a:rPr lang="en-US" sz="1200" b="0"/>
          </a:br>
          <a:r>
            <a:rPr lang="en-US" sz="1200" b="0"/>
            <a:t>Robert shows moderate performance but heavy reliance on one customer and limited product range. Growth potential exists if she expands either her client base or product portfolio.</a:t>
          </a:r>
        </a:p>
        <a:p>
          <a:endParaRPr lang="en-US" sz="1200" b="0" baseline="0"/>
        </a:p>
        <a:p>
          <a:endParaRPr lang="en-US" sz="1200" b="0" baseline="0"/>
        </a:p>
        <a:p>
          <a:r>
            <a:rPr lang="en-US" sz="1200" b="0"/>
            <a:t> </a:t>
          </a:r>
          <a:r>
            <a:rPr lang="en-US" sz="1200" b="1"/>
            <a:t>Key Business Patterns Identified</a:t>
          </a:r>
        </a:p>
        <a:p>
          <a:endParaRPr lang="en-US" sz="1200" b="0"/>
        </a:p>
        <a:p>
          <a:r>
            <a:rPr lang="en-US" sz="1200" b="0"/>
            <a:t>1️⃣ December and June are Peak Months</a:t>
          </a:r>
        </a:p>
        <a:p>
          <a:r>
            <a:rPr lang="en-US" sz="1200" b="0"/>
            <a:t>Several salespersons recorded their highest revenues in June and December. This suggests strong mid-year and end-of-year demand cycles, possibly due to seasonal consumption trends.</a:t>
          </a:r>
        </a:p>
        <a:p>
          <a:r>
            <a:rPr lang="en-US" sz="1200" b="0"/>
            <a:t>2️⃣ Diversification Drives Higher Revenue</a:t>
          </a:r>
        </a:p>
        <a:p>
          <a:r>
            <a:rPr lang="en-US" sz="1200" b="0"/>
            <a:t>Salespersons supplying multiple companies (Nancy, Anne, Mariya) consistently outperformed those serving only one company (Andrew, Michael, Jan, Robert).</a:t>
          </a:r>
        </a:p>
        <a:p>
          <a:r>
            <a:rPr lang="en-US" sz="1200" b="0"/>
            <a:t>This clearly indicates that customer diversification directly impacts revenue growth.</a:t>
          </a:r>
        </a:p>
        <a:p>
          <a:r>
            <a:rPr lang="en-US" sz="1200" b="0"/>
            <a:t>3️⃣ Product Specialization Has Both Strength and Risk</a:t>
          </a:r>
        </a:p>
        <a:p>
          <a:r>
            <a:rPr lang="en-US" sz="1200" b="0"/>
            <a:t>Some salespersons relied heavily on one strong-performing category (e.g., Sauces for Mariya). While this boosts revenue, it also increases vulnerability if demand declines.</a:t>
          </a:r>
        </a:p>
        <a:p>
          <a:r>
            <a:rPr lang="en-US" sz="1200" b="0"/>
            <a:t>4️⃣ West Region Shows Mixed Performance</a:t>
          </a:r>
        </a:p>
        <a:p>
          <a:r>
            <a:rPr lang="en-US" sz="1200" b="0"/>
            <a:t>The West region had both one of the lowest performers (Jan) and moderate performers (Mariya, Robert). This suggests opportunity, but also possible market saturation or competitive challenges.</a:t>
          </a:r>
        </a:p>
        <a:p>
          <a:endParaRPr lang="en-US" sz="1200" b="0"/>
        </a:p>
        <a:p>
          <a:r>
            <a:rPr lang="en-US" sz="1200" b="0"/>
            <a:t> </a:t>
          </a:r>
          <a:r>
            <a:rPr lang="en-US" sz="1200" b="1"/>
            <a:t>Strategic Recommendations</a:t>
          </a:r>
        </a:p>
        <a:p>
          <a:r>
            <a:rPr lang="en-US" sz="1200" b="0"/>
            <a:t>1. Encourage salespersons supplying only one company to diversify their customer base.</a:t>
          </a:r>
        </a:p>
        <a:p>
          <a:r>
            <a:rPr lang="en-US" sz="1200" b="0"/>
            <a:t>2. Leverage peak months (June &amp; December) with targeted promotions and inventory planning.</a:t>
          </a:r>
        </a:p>
        <a:p>
          <a:r>
            <a:rPr lang="en-US" sz="1200" b="0"/>
            <a:t>3. Reduce over-dependence on single product categories.</a:t>
          </a:r>
        </a:p>
        <a:p>
          <a:r>
            <a:rPr lang="en-US" sz="1200" b="0"/>
            <a:t>4. Provide performance coaching for low-performing salespersons, particularly in product expansion and client acquisition.</a:t>
          </a:r>
        </a:p>
        <a:p>
          <a:r>
            <a:rPr lang="en-US" sz="1200" b="0"/>
            <a:t>5. Study Nancy’s strategy as a benchmark model for scaling performance across the team.</a:t>
          </a:r>
        </a:p>
        <a:p>
          <a:endParaRPr lang="en-US" sz="1200" b="0" baseline="0"/>
        </a:p>
        <a:p>
          <a:endParaRPr lang="en-US" sz="1200" b="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21</xdr:col>
      <xdr:colOff>455486</xdr:colOff>
      <xdr:row>1</xdr:row>
      <xdr:rowOff>144235</xdr:rowOff>
    </xdr:from>
    <xdr:to>
      <xdr:col>39</xdr:col>
      <xdr:colOff>544286</xdr:colOff>
      <xdr:row>88</xdr:row>
      <xdr:rowOff>100794</xdr:rowOff>
    </xdr:to>
    <xdr:sp macro="" textlink="">
      <xdr:nvSpPr>
        <xdr:cNvPr id="5" name="TextBox 4">
          <a:extLst>
            <a:ext uri="{FF2B5EF4-FFF2-40B4-BE49-F238E27FC236}">
              <a16:creationId xmlns:a16="http://schemas.microsoft.com/office/drawing/2014/main" id="{2D7E4BFC-116A-480E-83BA-F285F2EE8D41}"/>
            </a:ext>
          </a:extLst>
        </xdr:cNvPr>
        <xdr:cNvSpPr txBox="1"/>
      </xdr:nvSpPr>
      <xdr:spPr>
        <a:xfrm>
          <a:off x="13155486" y="325664"/>
          <a:ext cx="10974514" cy="15740844"/>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Post Analysis</a:t>
          </a:r>
          <a:r>
            <a:rPr lang="en-US" sz="1400" b="1" baseline="0"/>
            <a:t> Insights</a:t>
          </a:r>
        </a:p>
        <a:p>
          <a:endParaRPr lang="en-US" sz="1200" b="1" baseline="0"/>
        </a:p>
        <a:p>
          <a:r>
            <a:rPr lang="en-US" sz="1200" b="1" baseline="0"/>
            <a:t>Focus 2:</a:t>
          </a:r>
        </a:p>
        <a:p>
          <a:r>
            <a:rPr lang="en-US" sz="1200" b="1" baseline="0"/>
            <a:t>CUSTOMERS</a:t>
          </a:r>
        </a:p>
        <a:p>
          <a:endParaRPr lang="en-US" sz="1200" b="0" baseline="0"/>
        </a:p>
        <a:p>
          <a:r>
            <a:rPr lang="en-US" sz="1200" b="0"/>
            <a:t> </a:t>
          </a:r>
          <a:r>
            <a:rPr lang="en-US" sz="1200" b="1"/>
            <a:t>Company A (Northern Region)</a:t>
          </a:r>
        </a:p>
        <a:p>
          <a:r>
            <a:rPr lang="en-US" sz="1200" b="0"/>
            <a:t>Company A concentrated mainly on Beverages ($30,491.99) and Canned Meat ($6,348.00). Total annual spending amounted to $36,839.99, supplied primarily by Nancy Freehafer.</a:t>
          </a:r>
        </a:p>
        <a:p>
          <a:r>
            <a:rPr lang="en-US" sz="1200" b="0"/>
            <a:t>Its purchasing power showed a progressive upward trend throughout the year, peaking in December ($6,895.36).</a:t>
          </a:r>
        </a:p>
        <a:p>
          <a:r>
            <a:rPr lang="en-US" sz="1200" b="0"/>
            <a:t>Insight:</a:t>
          </a:r>
        </a:p>
        <a:p>
          <a:r>
            <a:rPr lang="en-US" sz="1200" b="0"/>
            <a:t>Company A represents a stable and growing customer. The consistent upward trend indicates strong loyalty and increasing market demand. However, its narrow focus on only two product categories suggests room for product diversification to increase future revenue.</a:t>
          </a:r>
        </a:p>
        <a:p>
          <a:endParaRPr lang="en-US" sz="1200" b="0"/>
        </a:p>
        <a:p>
          <a:r>
            <a:rPr lang="en-US" sz="1200" b="1"/>
            <a:t>Company AA (Western Region)</a:t>
          </a:r>
        </a:p>
        <a:p>
          <a:r>
            <a:rPr lang="en-US" sz="1200" b="0"/>
            <a:t>Company AA focused solely on Beverages ($882.00) and Dried Fruits ($409.50), totaling $1,291.50 annually. The primary distributor was Mariya Sergienko.</a:t>
          </a:r>
        </a:p>
        <a:p>
          <a:r>
            <a:rPr lang="en-US" sz="1200" b="0"/>
            <a:t>Unlike Company A, Company AA experienced a steady decline in purchasing strength from the beginning to the end of the year.</a:t>
          </a:r>
        </a:p>
        <a:p>
          <a:r>
            <a:rPr lang="en-US" sz="1200" b="0"/>
            <a:t>Insight:</a:t>
          </a:r>
        </a:p>
        <a:p>
          <a:r>
            <a:rPr lang="en-US" sz="1200" b="0"/>
            <a:t>This customer reflects declining engagement. The low total spending and downward trend suggest either reduced operational capacity, market challenges, or shifting supplier preference. Retention strategies or promotional incentives may be necessary.</a:t>
          </a:r>
        </a:p>
        <a:p>
          <a:endParaRPr lang="en-US" sz="1200" b="0"/>
        </a:p>
        <a:p>
          <a:r>
            <a:rPr lang="en-US" sz="1200" b="1"/>
            <a:t>Company BB (Southern Region)</a:t>
          </a:r>
        </a:p>
        <a:p>
          <a:r>
            <a:rPr lang="en-US" sz="1200" b="0"/>
            <a:t>Company BB spent significantly on three product categories, with a total annual spending of approximately $48,713, largely supplied by Anne Larsen.</a:t>
          </a:r>
        </a:p>
        <a:p>
          <a:r>
            <a:rPr lang="en-US" sz="1200" b="0"/>
            <a:t>October recorded the highest demand ($6,386.20), while March and September saw noticeable declines.</a:t>
          </a:r>
        </a:p>
        <a:p>
          <a:r>
            <a:rPr lang="en-US" sz="1200" b="0"/>
            <a:t>Insight:</a:t>
          </a:r>
        </a:p>
        <a:p>
          <a:r>
            <a:rPr lang="en-US" sz="1200" b="0"/>
            <a:t>The purchasing pattern is non-progressive and irregular, possibly influenced by external macroeconomic (PEST) factors. Despite fluctuations, the high annual spending shows that Company BB remains a strong but somewhat unstable customer.</a:t>
          </a:r>
        </a:p>
        <a:p>
          <a:endParaRPr lang="en-US" sz="1200" b="0"/>
        </a:p>
        <a:p>
          <a:r>
            <a:rPr lang="en-US" sz="1200" b="1"/>
            <a:t>Company C (Western Region)</a:t>
          </a:r>
        </a:p>
        <a:p>
          <a:r>
            <a:rPr lang="en-US" sz="1200" b="0"/>
            <a:t>Company C recorded a total annual demand of $27,005, primarily driven by Sauces ($18,080), supplied by Mariya Sergienko.</a:t>
          </a:r>
        </a:p>
        <a:p>
          <a:r>
            <a:rPr lang="en-US" sz="1200" b="0"/>
            <a:t>While beverages had minimal demand ($559), May recorded the highest monthly purchase ($5,154.95). Several months had purchases below $1,500.</a:t>
          </a:r>
        </a:p>
        <a:p>
          <a:r>
            <a:rPr lang="en-US" sz="1200" b="0"/>
            <a:t>Insight:</a:t>
          </a:r>
        </a:p>
        <a:p>
          <a:r>
            <a:rPr lang="en-US" sz="1200" b="0"/>
            <a:t>Company C is highly dependent on Sauces, which creates product concentration risk. The fluctuating monthly demand indicates possible seasonal or promotional-driven purchasing behavior.</a:t>
          </a:r>
        </a:p>
        <a:p>
          <a:endParaRPr lang="en-US" sz="1200" b="0"/>
        </a:p>
        <a:p>
          <a:r>
            <a:rPr lang="en-US" sz="1200" b="1"/>
            <a:t>Company CC (Western Region)</a:t>
          </a:r>
        </a:p>
        <a:p>
          <a:r>
            <a:rPr lang="en-US" sz="1200" b="0"/>
            <a:t>Company CC focused on Beverages, Fruit &amp; Vegetables, and Candy, each exceeding $2,000 annually. Beverages led with $6,986, closely followed by Fruit &amp; Veg.</a:t>
          </a:r>
        </a:p>
        <a:p>
          <a:r>
            <a:rPr lang="en-US" sz="1200" b="0"/>
            <a:t>However, its purchasing pattern was highly volatile, with a peak in June ($4,928) followed by a drastic drop in July ($322).</a:t>
          </a:r>
        </a:p>
        <a:p>
          <a:r>
            <a:rPr lang="en-US" sz="1200" b="0"/>
            <a:t>Insight:</a:t>
          </a:r>
        </a:p>
        <a:p>
          <a:r>
            <a:rPr lang="en-US" sz="1200" b="0"/>
            <a:t>This customer demonstrates high instability in demand behavior. The sharp fluctuations suggest inconsistent consumption or possible inventory overstocking in peak months.</a:t>
          </a:r>
        </a:p>
        <a:p>
          <a:endParaRPr lang="en-US" sz="1200" b="0"/>
        </a:p>
        <a:p>
          <a:r>
            <a:rPr lang="en-US" sz="1200" b="1"/>
            <a:t>Company D (Eastern Region)</a:t>
          </a:r>
        </a:p>
        <a:p>
          <a:r>
            <a:rPr lang="en-US" sz="1200" b="0"/>
            <a:t>Company D recorded one of the highest total annual demands at $67,180.50, fully supplied by Andrew Cencini.</a:t>
          </a:r>
        </a:p>
        <a:p>
          <a:r>
            <a:rPr lang="en-US" sz="1200" b="0"/>
            <a:t>It focused on Jams, Nuts, Pasta, Grains, and Baked Goods, with Jams Preserves dominating ($41,391). There was no beverage demand.</a:t>
          </a:r>
        </a:p>
        <a:p>
          <a:r>
            <a:rPr lang="en-US" sz="1200" b="0"/>
            <a:t>June ($11,595) and December ($11,026) were peak months.</a:t>
          </a:r>
        </a:p>
        <a:p>
          <a:r>
            <a:rPr lang="en-US" sz="1200" b="0"/>
            <a:t>Insight:</a:t>
          </a:r>
        </a:p>
        <a:p>
          <a:r>
            <a:rPr lang="en-US" sz="1200" b="0"/>
            <a:t>Company D is a high-value but product-specific customer. Its heavy reliance on Jams suggests strong product-market alignment. However, diversification could further expand revenue potential.</a:t>
          </a:r>
        </a:p>
        <a:p>
          <a:endParaRPr lang="en-US" sz="1200" b="0"/>
        </a:p>
        <a:p>
          <a:r>
            <a:rPr lang="en-US" sz="1200" b="1"/>
            <a:t>Company F (Northern Region)</a:t>
          </a:r>
        </a:p>
        <a:p>
          <a:r>
            <a:rPr lang="en-US" sz="1200" b="0"/>
            <a:t>Company F recorded $37,428 in total demand, supplied by Michael Neipper.</a:t>
          </a:r>
        </a:p>
        <a:p>
          <a:r>
            <a:rPr lang="en-US" sz="1200" b="0"/>
            <a:t>It purchased across four categories, with Beverages ($10,178) being the highest. October was the peak month ($6,738.50).</a:t>
          </a:r>
        </a:p>
        <a:p>
          <a:r>
            <a:rPr lang="en-US" sz="1200" b="0"/>
            <a:t>The purchasing pattern was dynamic and volatile.</a:t>
          </a:r>
        </a:p>
        <a:p>
          <a:r>
            <a:rPr lang="en-US" sz="1200" b="0"/>
            <a:t>Insight:</a:t>
          </a:r>
        </a:p>
        <a:p>
          <a:r>
            <a:rPr lang="en-US" sz="1200" b="0"/>
            <a:t>Company F shows diversified demand behavior, which is positive. However, volatility suggests inconsistent ordering patterns or sensitivity to seasonal demand.</a:t>
          </a:r>
        </a:p>
        <a:p>
          <a:endParaRPr lang="en-US" sz="1200" b="0"/>
        </a:p>
        <a:p>
          <a:r>
            <a:rPr lang="en-US" sz="1200" b="1"/>
            <a:t>Company G (Northern Region)</a:t>
          </a:r>
        </a:p>
        <a:p>
          <a:r>
            <a:rPr lang="en-US" sz="1200" b="0"/>
            <a:t>Company G spent $17,204, entirely on Beverages, supplied by Nancy Freehafer.</a:t>
          </a:r>
        </a:p>
        <a:p>
          <a:r>
            <a:rPr lang="en-US" sz="1200" b="0"/>
            <a:t>Purchasing power grew progressively but declined from August to December.</a:t>
          </a:r>
        </a:p>
        <a:p>
          <a:r>
            <a:rPr lang="en-US" sz="1200" b="0"/>
            <a:t>Insight:</a:t>
          </a:r>
        </a:p>
        <a:p>
          <a:r>
            <a:rPr lang="en-US" sz="1200" b="0"/>
            <a:t>This company is highly dependent on a single product. While progressive growth is positive, the late-year decline signals potential demand saturation or competitive pressure.</a:t>
          </a:r>
        </a:p>
        <a:p>
          <a:endParaRPr lang="en-US" sz="1200" b="0"/>
        </a:p>
        <a:p>
          <a:r>
            <a:rPr lang="en-US" sz="1200" b="1"/>
            <a:t>Company H (Northern Region)</a:t>
          </a:r>
        </a:p>
        <a:p>
          <a:r>
            <a:rPr lang="en-US" sz="1200" b="0"/>
            <a:t>Company H recorded $59,208.35, making it one of the top customers.</a:t>
          </a:r>
        </a:p>
        <a:p>
          <a:r>
            <a:rPr lang="en-US" sz="1200" b="0"/>
            <a:t>It heavily demanded Sauces ($22,920), while other categories stayed below $15,000. The trend showed early low performance, with stronger mid-to-late-year activity.</a:t>
          </a:r>
        </a:p>
        <a:p>
          <a:r>
            <a:rPr lang="en-US" sz="1200" b="0"/>
            <a:t>Insight:</a:t>
          </a:r>
        </a:p>
        <a:p>
          <a:r>
            <a:rPr lang="en-US" sz="1200" b="0"/>
            <a:t>Company H is a high-value and diversified customer, though slightly sauce-dominant. Its mid-year growth pattern suggests responsiveness to supply availability or promotional cycles.</a:t>
          </a:r>
        </a:p>
        <a:p>
          <a:endParaRPr lang="en-US" sz="1200" b="0"/>
        </a:p>
        <a:p>
          <a:r>
            <a:rPr lang="en-US" sz="1200" b="1"/>
            <a:t>Company I (Western Region)</a:t>
          </a:r>
        </a:p>
        <a:p>
          <a:r>
            <a:rPr lang="en-US" sz="1200" b="0"/>
            <a:t>Company I spent $32,530, purchasing Dairy ($18,444), Pasta, and Soups, supplied by Robert Zare.</a:t>
          </a:r>
        </a:p>
        <a:p>
          <a:r>
            <a:rPr lang="en-US" sz="1200" b="0"/>
            <a:t>February recorded the lowest sales ($260), while October peaked at $4,542.85.</a:t>
          </a:r>
        </a:p>
        <a:p>
          <a:r>
            <a:rPr lang="en-US" sz="1200" b="0"/>
            <a:t>Insight:</a:t>
          </a:r>
        </a:p>
        <a:p>
          <a:r>
            <a:rPr lang="en-US" sz="1200" b="0"/>
            <a:t>The demand trend is moderately volatile but overall stable. Dairy is clearly the backbone of this relationship. There may be opportunities to introduce complementary products.</a:t>
          </a:r>
        </a:p>
        <a:p>
          <a:endParaRPr lang="en-US" sz="1200" b="0"/>
        </a:p>
        <a:p>
          <a:r>
            <a:rPr lang="en-US" sz="1200" b="1"/>
            <a:t>Company J (Eastern Region)</a:t>
          </a:r>
        </a:p>
        <a:p>
          <a:r>
            <a:rPr lang="en-US" sz="1200" b="0"/>
            <a:t>Company J spent $29,133, supplied by Laura Guissani, across five product categories.</a:t>
          </a:r>
        </a:p>
        <a:p>
          <a:r>
            <a:rPr lang="en-US" sz="1200" b="0"/>
            <a:t>Condiments had the highest demand, with August recording peak sales of $4,260.</a:t>
          </a:r>
        </a:p>
        <a:p>
          <a:r>
            <a:rPr lang="en-US" sz="1200" b="0"/>
            <a:t>Insight:</a:t>
          </a:r>
        </a:p>
        <a:p>
          <a:r>
            <a:rPr lang="en-US" sz="1200" b="0"/>
            <a:t>Company J demonstrates healthy product diversification. The August peak may indicate seasonal or promotional buying behavior.</a:t>
          </a:r>
        </a:p>
        <a:p>
          <a:endParaRPr lang="en-US" sz="1200" b="0" baseline="0"/>
        </a:p>
        <a:p>
          <a:endParaRPr lang="en-US" sz="1200" b="0" baseline="0"/>
        </a:p>
        <a:p>
          <a:endParaRPr lang="en-US" sz="1200" b="0" baseline="0"/>
        </a:p>
        <a:p>
          <a:endParaRPr lang="en-US" sz="1200" b="0" baseline="0"/>
        </a:p>
        <a:p>
          <a:endParaRPr lang="en-US" sz="1200" b="0" baseline="0"/>
        </a:p>
        <a:p>
          <a:endParaRPr lang="en-US" sz="1200" b="0" baseline="0"/>
        </a:p>
        <a:p>
          <a:endParaRPr lang="en-US" sz="1200" b="0" baseline="0"/>
        </a:p>
        <a:p>
          <a:endParaRPr lang="en-US" sz="1200" b="0" baseline="0"/>
        </a:p>
        <a:p>
          <a:endParaRPr lang="en-US" sz="1200" b="0" baseline="0"/>
        </a:p>
        <a:p>
          <a:endParaRPr lang="en-US" sz="1200" b="0" baseline="0"/>
        </a:p>
        <a:p>
          <a:endParaRPr lang="en-US" sz="1200" b="0" baseline="0"/>
        </a:p>
        <a:p>
          <a:endParaRPr lang="en-US" sz="1200" b="0" baseline="0"/>
        </a:p>
        <a:p>
          <a:endParaRPr lang="en-US" sz="1200" b="0" baseline="0"/>
        </a:p>
      </xdr:txBody>
    </xdr:sp>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2.669057870371" createdVersion="8" refreshedVersion="8" minRefreshableVersion="3" recordCount="369" xr:uid="{2F6828AE-2F15-40A4-9D39-37A7094DFEF2}">
  <cacheSource type="worksheet">
    <worksheetSource name="Table1"/>
  </cacheSource>
  <cacheFields count="28">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ount="4">
        <s v="Shipping Company B"/>
        <s v="Shipping Company A"/>
        <s v="Shipping Company C"/>
        <m/>
      </sharedItems>
    </cacheField>
    <cacheField name="Ship Name" numFmtId="0">
      <sharedItems containsMixedTypes="1" containsNumber="1" containsInteger="1" minValue="9" maxValue="9"/>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5">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startNum="0" endNum="7938" groupInterval="1000"/>
        <groupItems count="10">
          <s v="&lt;0"/>
          <s v="0-1000"/>
          <s v="1000-2000"/>
          <s v="2000-3000"/>
          <s v="3000-4000"/>
          <s v="4000-5000"/>
          <s v="5000-6000"/>
          <s v="6000-7000"/>
          <s v="7000-8000"/>
          <s v="&gt;8000"/>
        </groupItems>
      </fieldGroup>
    </cacheField>
    <cacheField name="Shipping Fee" numFmtId="165">
      <sharedItems containsSemiMixedTypes="0" containsString="0" containsNumber="1" minValue="3.7345000000000002" maxValue="769.98599999999999"/>
    </cacheField>
    <cacheField name="Days (Order Date)" numFmtId="0" databaseField="0">
      <fieldGroup base="1">
        <rangePr groupBy="days" startDate="2014-01-01T00:00:00" endDate="2014-12-30T00:00:00"/>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4"/>
        </groupItems>
      </fieldGroup>
    </cacheField>
    <cacheField name="Months (Order Date)"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495258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s v="USA"/>
    <x v="0"/>
    <x v="0"/>
    <d v="2014-01-29T00:00:00"/>
    <x v="0"/>
    <s v="Karen Toh"/>
    <s v="789 27th Street"/>
    <x v="0"/>
    <s v="NV"/>
    <n v="99999"/>
    <s v="USA"/>
    <s v="Check"/>
    <x v="0"/>
    <x v="0"/>
    <n v="14"/>
    <n v="49"/>
    <x v="0"/>
    <n v="66.542000000000002"/>
  </r>
  <r>
    <n v="1002"/>
    <x v="0"/>
    <n v="27"/>
    <x v="0"/>
    <s v="789 27th Street"/>
    <x v="0"/>
    <x v="0"/>
    <n v="99999"/>
    <s v="USA"/>
    <x v="0"/>
    <x v="0"/>
    <d v="2014-01-29T00:00:00"/>
    <x v="0"/>
    <s v="Karen Toh"/>
    <s v="789 27th Street"/>
    <x v="0"/>
    <s v="NV"/>
    <n v="99999"/>
    <s v="USA"/>
    <s v="Check"/>
    <x v="1"/>
    <x v="1"/>
    <n v="3.5"/>
    <n v="47"/>
    <x v="1"/>
    <n v="16.6145"/>
  </r>
  <r>
    <n v="1003"/>
    <x v="1"/>
    <n v="4"/>
    <x v="1"/>
    <s v="123 4th Street"/>
    <x v="1"/>
    <x v="1"/>
    <n v="99999"/>
    <s v="USA"/>
    <x v="1"/>
    <x v="1"/>
    <d v="2014-01-06T00:00:00"/>
    <x v="1"/>
    <s v="Christina Lee"/>
    <s v="123 4th Street"/>
    <x v="1"/>
    <s v="NY"/>
    <n v="99999"/>
    <s v="USA"/>
    <s v="Credit Card"/>
    <x v="2"/>
    <x v="1"/>
    <n v="30"/>
    <n v="69"/>
    <x v="2"/>
    <n v="198.72"/>
  </r>
  <r>
    <n v="1004"/>
    <x v="1"/>
    <n v="4"/>
    <x v="1"/>
    <s v="123 4th Street"/>
    <x v="1"/>
    <x v="1"/>
    <n v="99999"/>
    <s v="USA"/>
    <x v="1"/>
    <x v="1"/>
    <d v="2014-01-06T00:00:00"/>
    <x v="1"/>
    <s v="Christina Lee"/>
    <s v="123 4th Street"/>
    <x v="1"/>
    <s v="NY"/>
    <n v="99999"/>
    <s v="USA"/>
    <s v="Credit Card"/>
    <x v="3"/>
    <x v="1"/>
    <n v="53"/>
    <n v="89"/>
    <x v="3"/>
    <n v="448.11500000000001"/>
  </r>
  <r>
    <n v="1005"/>
    <x v="1"/>
    <n v="4"/>
    <x v="1"/>
    <s v="123 4th Street"/>
    <x v="1"/>
    <x v="1"/>
    <n v="99999"/>
    <s v="USA"/>
    <x v="1"/>
    <x v="1"/>
    <d v="2014-01-06T00:00:00"/>
    <x v="1"/>
    <s v="Christina Lee"/>
    <s v="123 4th Street"/>
    <x v="1"/>
    <s v="NY"/>
    <n v="99999"/>
    <s v="USA"/>
    <s v="Credit Card"/>
    <x v="1"/>
    <x v="1"/>
    <n v="3.5"/>
    <n v="11"/>
    <x v="4"/>
    <n v="3.7345000000000002"/>
  </r>
  <r>
    <n v="1006"/>
    <x v="2"/>
    <n v="12"/>
    <x v="2"/>
    <s v="123 12th Street"/>
    <x v="0"/>
    <x v="0"/>
    <n v="99999"/>
    <s v="USA"/>
    <x v="0"/>
    <x v="0"/>
    <d v="2014-01-14T00:00:00"/>
    <x v="0"/>
    <s v="John Edwards"/>
    <s v="123 12th Street"/>
    <x v="0"/>
    <s v="NV"/>
    <n v="99999"/>
    <s v="USA"/>
    <s v="Credit Card"/>
    <x v="4"/>
    <x v="0"/>
    <n v="18"/>
    <n v="81"/>
    <x v="5"/>
    <n v="141.42600000000002"/>
  </r>
  <r>
    <n v="1007"/>
    <x v="2"/>
    <n v="12"/>
    <x v="2"/>
    <s v="123 12th Street"/>
    <x v="0"/>
    <x v="0"/>
    <n v="99999"/>
    <s v="USA"/>
    <x v="0"/>
    <x v="0"/>
    <d v="2014-01-14T00:00:00"/>
    <x v="0"/>
    <s v="John Edwards"/>
    <s v="123 12th Street"/>
    <x v="0"/>
    <s v="NV"/>
    <n v="99999"/>
    <s v="USA"/>
    <s v="Credit Card"/>
    <x v="5"/>
    <x v="0"/>
    <n v="46"/>
    <n v="44"/>
    <x v="6"/>
    <n v="198.352"/>
  </r>
  <r>
    <n v="1008"/>
    <x v="3"/>
    <n v="8"/>
    <x v="3"/>
    <s v="123 8th Street"/>
    <x v="2"/>
    <x v="2"/>
    <n v="99999"/>
    <s v="USA"/>
    <x v="2"/>
    <x v="2"/>
    <d v="2014-01-10T00:00:00"/>
    <x v="2"/>
    <s v="Elizabeth Andersen"/>
    <s v="123 8th Street"/>
    <x v="2"/>
    <s v="OR"/>
    <n v="99999"/>
    <s v="USA"/>
    <s v="Credit Card"/>
    <x v="6"/>
    <x v="2"/>
    <n v="9.1999999999999993"/>
    <n v="38"/>
    <x v="7"/>
    <n v="36.008800000000001"/>
  </r>
  <r>
    <n v="1009"/>
    <x v="1"/>
    <n v="4"/>
    <x v="1"/>
    <s v="123 4th Street"/>
    <x v="1"/>
    <x v="1"/>
    <n v="99999"/>
    <s v="USA"/>
    <x v="1"/>
    <x v="1"/>
    <d v="2014-01-06T00:00:00"/>
    <x v="2"/>
    <s v="Christina Lee"/>
    <s v="123 4th Street"/>
    <x v="1"/>
    <s v="NY"/>
    <n v="99999"/>
    <s v="USA"/>
    <s v="Check"/>
    <x v="6"/>
    <x v="2"/>
    <n v="9.1999999999999993"/>
    <n v="88"/>
    <x v="8"/>
    <n v="79.340799999999987"/>
  </r>
  <r>
    <n v="1010"/>
    <x v="4"/>
    <n v="29"/>
    <x v="4"/>
    <s v="789 29th Street"/>
    <x v="3"/>
    <x v="3"/>
    <n v="99999"/>
    <s v="USA"/>
    <x v="3"/>
    <x v="0"/>
    <d v="2014-01-31T00:00:00"/>
    <x v="0"/>
    <s v="Soo Jung Lee"/>
    <s v="789 29th Street"/>
    <x v="3"/>
    <s v="CO"/>
    <n v="99999"/>
    <s v="USA"/>
    <s v="Check"/>
    <x v="7"/>
    <x v="3"/>
    <n v="12.75"/>
    <n v="94"/>
    <x v="9"/>
    <n v="122.24700000000001"/>
  </r>
  <r>
    <n v="1011"/>
    <x v="5"/>
    <n v="3"/>
    <x v="5"/>
    <s v="123 3rd Street"/>
    <x v="4"/>
    <x v="4"/>
    <n v="99999"/>
    <s v="USA"/>
    <x v="0"/>
    <x v="0"/>
    <d v="2014-01-05T00:00:00"/>
    <x v="0"/>
    <s v="Thomas Axerr"/>
    <s v="123 3rd Street"/>
    <x v="4"/>
    <s v="CA"/>
    <n v="99999"/>
    <s v="USA"/>
    <s v="Cash"/>
    <x v="8"/>
    <x v="4"/>
    <n v="9.65"/>
    <n v="91"/>
    <x v="10"/>
    <n v="92.205749999999995"/>
  </r>
  <r>
    <n v="1012"/>
    <x v="6"/>
    <n v="6"/>
    <x v="6"/>
    <s v="123 6th Street"/>
    <x v="5"/>
    <x v="5"/>
    <n v="99999"/>
    <s v="USA"/>
    <x v="4"/>
    <x v="2"/>
    <d v="2014-01-08T00:00:00"/>
    <x v="0"/>
    <s v="Francisco Pérez-Olaeta"/>
    <s v="123 6th Street"/>
    <x v="5"/>
    <s v="WI"/>
    <n v="99999"/>
    <s v="USA"/>
    <s v="Credit Card"/>
    <x v="9"/>
    <x v="5"/>
    <n v="40"/>
    <n v="32"/>
    <x v="11"/>
    <n v="133.12"/>
  </r>
  <r>
    <n v="1013"/>
    <x v="7"/>
    <n v="28"/>
    <x v="7"/>
    <s v="789 28th Street"/>
    <x v="6"/>
    <x v="6"/>
    <n v="99999"/>
    <s v="USA"/>
    <x v="5"/>
    <x v="3"/>
    <d v="2014-01-30T00:00:00"/>
    <x v="2"/>
    <s v="Amritansh Raghav"/>
    <s v="789 28th Street"/>
    <x v="6"/>
    <s v="TN"/>
    <n v="99999"/>
    <s v="USA"/>
    <s v="Check"/>
    <x v="5"/>
    <x v="0"/>
    <n v="46"/>
    <n v="55"/>
    <x v="12"/>
    <n v="253"/>
  </r>
  <r>
    <n v="1014"/>
    <x v="3"/>
    <n v="8"/>
    <x v="3"/>
    <s v="123 8th Street"/>
    <x v="2"/>
    <x v="2"/>
    <n v="99999"/>
    <s v="USA"/>
    <x v="2"/>
    <x v="2"/>
    <d v="2014-01-10T00:00:00"/>
    <x v="2"/>
    <s v="Elizabeth Andersen"/>
    <s v="123 8th Street"/>
    <x v="2"/>
    <s v="OR"/>
    <n v="99999"/>
    <s v="USA"/>
    <s v="Check"/>
    <x v="7"/>
    <x v="3"/>
    <n v="12.75"/>
    <n v="47"/>
    <x v="13"/>
    <n v="61.722750000000005"/>
  </r>
  <r>
    <n v="1015"/>
    <x v="8"/>
    <n v="10"/>
    <x v="8"/>
    <s v="123 10th Street"/>
    <x v="7"/>
    <x v="7"/>
    <n v="99999"/>
    <s v="USA"/>
    <x v="6"/>
    <x v="1"/>
    <d v="2014-01-12T00:00:00"/>
    <x v="0"/>
    <s v="Roland Wacker"/>
    <s v="123 10th Street"/>
    <x v="7"/>
    <s v="IL"/>
    <n v="99999"/>
    <s v="USA"/>
    <s v="Credit Card"/>
    <x v="10"/>
    <x v="0"/>
    <n v="2.99"/>
    <n v="90"/>
    <x v="14"/>
    <n v="27.717300000000005"/>
  </r>
  <r>
    <n v="1016"/>
    <x v="9"/>
    <n v="7"/>
    <x v="9"/>
    <s v="123 7th Street"/>
    <x v="8"/>
    <x v="8"/>
    <n v="99999"/>
    <s v="USA"/>
    <x v="2"/>
    <x v="2"/>
    <m/>
    <x v="3"/>
    <s v="Ming-Yang Xie"/>
    <s v="123 7th Street"/>
    <x v="8"/>
    <s v="ID"/>
    <n v="99999"/>
    <s v="USA"/>
    <m/>
    <x v="5"/>
    <x v="0"/>
    <n v="46"/>
    <n v="24"/>
    <x v="15"/>
    <n v="110.4"/>
  </r>
  <r>
    <n v="1017"/>
    <x v="8"/>
    <n v="10"/>
    <x v="8"/>
    <s v="123 10th Street"/>
    <x v="7"/>
    <x v="7"/>
    <n v="99999"/>
    <s v="USA"/>
    <x v="6"/>
    <x v="1"/>
    <d v="2014-01-12T00:00:00"/>
    <x v="1"/>
    <s v="Roland Wacker"/>
    <s v="123 10th Street"/>
    <x v="7"/>
    <s v="IL"/>
    <n v="99999"/>
    <s v="USA"/>
    <m/>
    <x v="11"/>
    <x v="6"/>
    <n v="25"/>
    <n v="34"/>
    <x v="16"/>
    <n v="80.75"/>
  </r>
  <r>
    <n v="1018"/>
    <x v="8"/>
    <n v="10"/>
    <x v="8"/>
    <s v="123 10th Street"/>
    <x v="7"/>
    <x v="7"/>
    <n v="99999"/>
    <s v="USA"/>
    <x v="6"/>
    <x v="1"/>
    <d v="2014-01-12T00:00:00"/>
    <x v="1"/>
    <s v="Roland Wacker"/>
    <s v="123 10th Street"/>
    <x v="7"/>
    <s v="IL"/>
    <n v="99999"/>
    <s v="USA"/>
    <m/>
    <x v="12"/>
    <x v="7"/>
    <n v="22"/>
    <n v="17"/>
    <x v="17"/>
    <n v="35.903999999999996"/>
  </r>
  <r>
    <n v="1019"/>
    <x v="8"/>
    <n v="10"/>
    <x v="8"/>
    <s v="123 10th Street"/>
    <x v="7"/>
    <x v="7"/>
    <n v="99999"/>
    <s v="USA"/>
    <x v="6"/>
    <x v="1"/>
    <d v="2014-01-12T00:00:00"/>
    <x v="1"/>
    <s v="Roland Wacker"/>
    <s v="123 10th Street"/>
    <x v="7"/>
    <s v="IL"/>
    <n v="99999"/>
    <s v="USA"/>
    <m/>
    <x v="6"/>
    <x v="2"/>
    <n v="9.1999999999999993"/>
    <n v="44"/>
    <x v="18"/>
    <n v="42.099199999999996"/>
  </r>
  <r>
    <n v="1020"/>
    <x v="10"/>
    <n v="11"/>
    <x v="10"/>
    <s v="123 11th Street"/>
    <x v="9"/>
    <x v="9"/>
    <n v="99999"/>
    <s v="USA"/>
    <x v="5"/>
    <x v="3"/>
    <m/>
    <x v="2"/>
    <s v="Peter Krschne"/>
    <s v="123 11th Street"/>
    <x v="9"/>
    <s v="FL"/>
    <n v="99999"/>
    <s v="USA"/>
    <m/>
    <x v="1"/>
    <x v="1"/>
    <n v="3.5"/>
    <n v="81"/>
    <x v="19"/>
    <n v="27.499500000000001"/>
  </r>
  <r>
    <n v="1021"/>
    <x v="10"/>
    <n v="11"/>
    <x v="10"/>
    <s v="123 11th Street"/>
    <x v="9"/>
    <x v="9"/>
    <n v="99999"/>
    <s v="USA"/>
    <x v="5"/>
    <x v="3"/>
    <m/>
    <x v="2"/>
    <n v="9"/>
    <s v="123 11th Street"/>
    <x v="9"/>
    <s v="FL"/>
    <n v="99999"/>
    <s v="USA"/>
    <m/>
    <x v="10"/>
    <x v="0"/>
    <n v="2.99"/>
    <n v="49"/>
    <x v="20"/>
    <n v="15.090530000000005"/>
  </r>
  <r>
    <n v="1022"/>
    <x v="11"/>
    <n v="1"/>
    <x v="11"/>
    <s v="123 1st Street"/>
    <x v="10"/>
    <x v="10"/>
    <n v="99999"/>
    <s v="USA"/>
    <x v="2"/>
    <x v="2"/>
    <m/>
    <x v="3"/>
    <s v="Anna Bedecs"/>
    <s v="123 1st Street"/>
    <x v="10"/>
    <s v="WA"/>
    <n v="99999"/>
    <s v="USA"/>
    <m/>
    <x v="4"/>
    <x v="0"/>
    <n v="18"/>
    <n v="42"/>
    <x v="21"/>
    <n v="75.600000000000009"/>
  </r>
  <r>
    <n v="1023"/>
    <x v="11"/>
    <n v="1"/>
    <x v="11"/>
    <s v="123 1st Street"/>
    <x v="10"/>
    <x v="10"/>
    <n v="99999"/>
    <s v="USA"/>
    <x v="2"/>
    <x v="2"/>
    <m/>
    <x v="3"/>
    <s v="Anna Bedecs"/>
    <s v="123 1st Street"/>
    <x v="10"/>
    <s v="WA"/>
    <n v="99999"/>
    <s v="USA"/>
    <m/>
    <x v="5"/>
    <x v="0"/>
    <n v="46"/>
    <n v="58"/>
    <x v="22"/>
    <n v="269.46800000000002"/>
  </r>
  <r>
    <n v="1024"/>
    <x v="11"/>
    <n v="1"/>
    <x v="11"/>
    <s v="123 1st Street"/>
    <x v="10"/>
    <x v="10"/>
    <n v="99999"/>
    <s v="USA"/>
    <x v="2"/>
    <x v="2"/>
    <m/>
    <x v="3"/>
    <s v="Anna Bedecs"/>
    <s v="123 1st Street"/>
    <x v="10"/>
    <s v="WA"/>
    <n v="99999"/>
    <s v="USA"/>
    <m/>
    <x v="10"/>
    <x v="0"/>
    <n v="2.99"/>
    <n v="67"/>
    <x v="23"/>
    <n v="20.033000000000001"/>
  </r>
  <r>
    <n v="1025"/>
    <x v="7"/>
    <n v="28"/>
    <x v="7"/>
    <s v="789 28th Street"/>
    <x v="6"/>
    <x v="6"/>
    <n v="99999"/>
    <s v="USA"/>
    <x v="5"/>
    <x v="3"/>
    <d v="2014-01-30T00:00:00"/>
    <x v="2"/>
    <s v="Amritansh Raghav"/>
    <s v="789 28th Street"/>
    <x v="6"/>
    <s v="TN"/>
    <n v="99999"/>
    <s v="USA"/>
    <s v="Credit Card"/>
    <x v="8"/>
    <x v="4"/>
    <n v="9.65"/>
    <n v="100"/>
    <x v="24"/>
    <n v="93.605000000000004"/>
  </r>
  <r>
    <n v="1026"/>
    <x v="7"/>
    <n v="28"/>
    <x v="7"/>
    <s v="789 28th Street"/>
    <x v="6"/>
    <x v="6"/>
    <n v="99999"/>
    <s v="USA"/>
    <x v="5"/>
    <x v="3"/>
    <d v="2014-01-30T00:00:00"/>
    <x v="2"/>
    <s v="Amritansh Raghav"/>
    <s v="789 28th Street"/>
    <x v="6"/>
    <s v="TN"/>
    <n v="99999"/>
    <s v="USA"/>
    <s v="Credit Card"/>
    <x v="13"/>
    <x v="8"/>
    <n v="18.399999999999999"/>
    <n v="63"/>
    <x v="25"/>
    <n v="114.76079999999999"/>
  </r>
  <r>
    <n v="1027"/>
    <x v="12"/>
    <n v="9"/>
    <x v="12"/>
    <s v="123 9th Street"/>
    <x v="11"/>
    <x v="11"/>
    <n v="99999"/>
    <s v="USA"/>
    <x v="7"/>
    <x v="0"/>
    <d v="2014-01-11T00:00:00"/>
    <x v="1"/>
    <s v="Sven Mortensen"/>
    <s v="123 9th Street"/>
    <x v="11"/>
    <s v="UT"/>
    <n v="99999"/>
    <s v="USA"/>
    <s v="Check"/>
    <x v="14"/>
    <x v="9"/>
    <n v="19.5"/>
    <n v="57"/>
    <x v="26"/>
    <n v="110.0385"/>
  </r>
  <r>
    <n v="1028"/>
    <x v="12"/>
    <n v="9"/>
    <x v="12"/>
    <s v="123 9th Street"/>
    <x v="11"/>
    <x v="11"/>
    <n v="99999"/>
    <s v="USA"/>
    <x v="7"/>
    <x v="0"/>
    <d v="2014-01-11T00:00:00"/>
    <x v="1"/>
    <s v="Sven Mortensen"/>
    <s v="123 9th Street"/>
    <x v="11"/>
    <s v="UT"/>
    <n v="99999"/>
    <s v="USA"/>
    <s v="Check"/>
    <x v="15"/>
    <x v="10"/>
    <n v="34.799999999999997"/>
    <n v="81"/>
    <x v="27"/>
    <n v="295.97399999999999"/>
  </r>
  <r>
    <n v="1029"/>
    <x v="6"/>
    <n v="6"/>
    <x v="6"/>
    <s v="123 6th Street"/>
    <x v="5"/>
    <x v="5"/>
    <n v="99999"/>
    <s v="USA"/>
    <x v="4"/>
    <x v="2"/>
    <d v="2014-01-08T00:00:00"/>
    <x v="0"/>
    <s v="Francisco Pérez-Olaeta"/>
    <s v="123 6th Street"/>
    <x v="5"/>
    <s v="WI"/>
    <n v="99999"/>
    <s v="USA"/>
    <s v="Credit Card"/>
    <x v="0"/>
    <x v="0"/>
    <n v="14"/>
    <n v="71"/>
    <x v="28"/>
    <n v="95.424000000000007"/>
  </r>
  <r>
    <n v="1030"/>
    <x v="13"/>
    <n v="8"/>
    <x v="3"/>
    <s v="123 8th Street"/>
    <x v="2"/>
    <x v="2"/>
    <n v="99999"/>
    <s v="USA"/>
    <x v="2"/>
    <x v="2"/>
    <d v="2014-02-10T00:00:00"/>
    <x v="0"/>
    <s v="Elizabeth Andersen"/>
    <s v="123 8th Street"/>
    <x v="2"/>
    <s v="OR"/>
    <n v="99999"/>
    <s v="USA"/>
    <s v="Check"/>
    <x v="9"/>
    <x v="5"/>
    <n v="40"/>
    <n v="32"/>
    <x v="11"/>
    <n v="129.28"/>
  </r>
  <r>
    <n v="1031"/>
    <x v="14"/>
    <n v="3"/>
    <x v="5"/>
    <s v="123 3rd Street"/>
    <x v="4"/>
    <x v="4"/>
    <n v="99999"/>
    <s v="USA"/>
    <x v="0"/>
    <x v="0"/>
    <d v="2014-02-05T00:00:00"/>
    <x v="0"/>
    <s v="Thomas Axerr"/>
    <s v="123 3rd Street"/>
    <x v="4"/>
    <s v="CA"/>
    <n v="99999"/>
    <s v="USA"/>
    <s v="Cash"/>
    <x v="16"/>
    <x v="7"/>
    <n v="10"/>
    <n v="63"/>
    <x v="29"/>
    <n v="65.52"/>
  </r>
  <r>
    <n v="1032"/>
    <x v="14"/>
    <n v="3"/>
    <x v="5"/>
    <s v="123 3rd Street"/>
    <x v="4"/>
    <x v="4"/>
    <n v="99999"/>
    <s v="USA"/>
    <x v="0"/>
    <x v="0"/>
    <d v="2014-02-05T00:00:00"/>
    <x v="0"/>
    <s v="Thomas Axerr"/>
    <s v="123 3rd Street"/>
    <x v="4"/>
    <s v="CA"/>
    <n v="99999"/>
    <s v="USA"/>
    <s v="Cash"/>
    <x v="9"/>
    <x v="5"/>
    <n v="40"/>
    <n v="30"/>
    <x v="30"/>
    <n v="120"/>
  </r>
  <r>
    <n v="1033"/>
    <x v="15"/>
    <n v="6"/>
    <x v="6"/>
    <s v="123 6th Street"/>
    <x v="5"/>
    <x v="5"/>
    <n v="99999"/>
    <s v="USA"/>
    <x v="4"/>
    <x v="2"/>
    <d v="2014-02-08T00:00:00"/>
    <x v="0"/>
    <s v="Francisco Pérez-Olaeta"/>
    <s v="123 6th Street"/>
    <x v="5"/>
    <s v="WI"/>
    <n v="99999"/>
    <s v="USA"/>
    <s v="Credit Card"/>
    <x v="17"/>
    <x v="11"/>
    <m/>
    <m/>
    <x v="31"/>
    <n v="43"/>
  </r>
  <r>
    <n v="1034"/>
    <x v="16"/>
    <n v="28"/>
    <x v="7"/>
    <s v="789 28th Street"/>
    <x v="6"/>
    <x v="6"/>
    <n v="99999"/>
    <s v="USA"/>
    <x v="5"/>
    <x v="3"/>
    <d v="2014-03-02T00:00:00"/>
    <x v="2"/>
    <s v="Amritansh Raghav"/>
    <s v="789 28th Street"/>
    <x v="6"/>
    <s v="TN"/>
    <n v="99999"/>
    <s v="USA"/>
    <s v="Check"/>
    <x v="17"/>
    <x v="11"/>
    <m/>
    <m/>
    <x v="31"/>
    <n v="31"/>
  </r>
  <r>
    <n v="1035"/>
    <x v="13"/>
    <n v="8"/>
    <x v="3"/>
    <s v="123 8th Street"/>
    <x v="2"/>
    <x v="2"/>
    <n v="99999"/>
    <s v="USA"/>
    <x v="2"/>
    <x v="2"/>
    <d v="2014-02-10T00:00:00"/>
    <x v="2"/>
    <s v="Elizabeth Andersen"/>
    <s v="123 8th Street"/>
    <x v="2"/>
    <s v="OR"/>
    <n v="99999"/>
    <s v="USA"/>
    <s v="Check"/>
    <x v="17"/>
    <x v="11"/>
    <m/>
    <m/>
    <x v="31"/>
    <n v="46"/>
  </r>
  <r>
    <n v="1036"/>
    <x v="17"/>
    <n v="10"/>
    <x v="8"/>
    <s v="123 10th Street"/>
    <x v="7"/>
    <x v="7"/>
    <n v="99999"/>
    <s v="USA"/>
    <x v="6"/>
    <x v="1"/>
    <d v="2014-02-12T00:00:00"/>
    <x v="0"/>
    <s v="Roland Wacker"/>
    <s v="123 10th Street"/>
    <x v="7"/>
    <s v="IL"/>
    <n v="99999"/>
    <s v="USA"/>
    <s v="Credit Card"/>
    <x v="18"/>
    <x v="1"/>
    <n v="10"/>
    <n v="47"/>
    <x v="32"/>
    <n v="48.88"/>
  </r>
  <r>
    <n v="1038"/>
    <x v="17"/>
    <n v="10"/>
    <x v="8"/>
    <s v="123 10th Street"/>
    <x v="7"/>
    <x v="7"/>
    <n v="99999"/>
    <s v="USA"/>
    <x v="6"/>
    <x v="1"/>
    <m/>
    <x v="1"/>
    <s v="Roland Wacker"/>
    <s v="123 10th Street"/>
    <x v="7"/>
    <s v="IL"/>
    <n v="99999"/>
    <s v="USA"/>
    <m/>
    <x v="1"/>
    <x v="1"/>
    <n v="3.5"/>
    <n v="49"/>
    <x v="33"/>
    <n v="16.464000000000002"/>
  </r>
  <r>
    <n v="1039"/>
    <x v="18"/>
    <n v="11"/>
    <x v="10"/>
    <s v="123 11th Street"/>
    <x v="9"/>
    <x v="9"/>
    <n v="99999"/>
    <s v="USA"/>
    <x v="5"/>
    <x v="3"/>
    <m/>
    <x v="2"/>
    <s v="Peter Krschne"/>
    <s v="123 11th Street"/>
    <x v="9"/>
    <s v="FL"/>
    <n v="99999"/>
    <s v="USA"/>
    <m/>
    <x v="9"/>
    <x v="5"/>
    <n v="40"/>
    <n v="72"/>
    <x v="34"/>
    <n v="285.12"/>
  </r>
  <r>
    <n v="1040"/>
    <x v="19"/>
    <n v="1"/>
    <x v="11"/>
    <s v="123 1st Street"/>
    <x v="10"/>
    <x v="10"/>
    <n v="99999"/>
    <s v="USA"/>
    <x v="2"/>
    <x v="2"/>
    <m/>
    <x v="2"/>
    <s v="Anna Bedecs"/>
    <s v="123 1st Street"/>
    <x v="10"/>
    <s v="WA"/>
    <n v="99999"/>
    <s v="USA"/>
    <m/>
    <x v="13"/>
    <x v="8"/>
    <n v="18.399999999999999"/>
    <n v="13"/>
    <x v="35"/>
    <n v="23.680800000000001"/>
  </r>
  <r>
    <n v="1041"/>
    <x v="16"/>
    <n v="28"/>
    <x v="7"/>
    <s v="789 28th Street"/>
    <x v="6"/>
    <x v="6"/>
    <n v="99999"/>
    <s v="USA"/>
    <x v="5"/>
    <x v="3"/>
    <n v="41700"/>
    <x v="2"/>
    <s v="Amritansh Raghav"/>
    <s v="789 28th Street"/>
    <x v="6"/>
    <s v="TN"/>
    <n v="99999"/>
    <s v="USA"/>
    <s v="Credit Card"/>
    <x v="5"/>
    <x v="0"/>
    <n v="46"/>
    <n v="32"/>
    <x v="36"/>
    <n v="148.67200000000003"/>
  </r>
  <r>
    <n v="1042"/>
    <x v="20"/>
    <n v="9"/>
    <x v="12"/>
    <s v="123 9th Street"/>
    <x v="11"/>
    <x v="11"/>
    <n v="99999"/>
    <s v="USA"/>
    <x v="7"/>
    <x v="0"/>
    <d v="2014-02-11T00:00:00"/>
    <x v="1"/>
    <s v="Sven Mortensen"/>
    <s v="123 9th Street"/>
    <x v="11"/>
    <s v="UT"/>
    <n v="99999"/>
    <s v="USA"/>
    <s v="Check"/>
    <x v="8"/>
    <x v="4"/>
    <n v="9.65"/>
    <n v="27"/>
    <x v="37"/>
    <n v="24.752250000000004"/>
  </r>
  <r>
    <n v="1043"/>
    <x v="15"/>
    <n v="6"/>
    <x v="6"/>
    <s v="123 6th Street"/>
    <x v="5"/>
    <x v="5"/>
    <n v="99999"/>
    <s v="USA"/>
    <x v="4"/>
    <x v="2"/>
    <d v="2014-02-08T00:00:00"/>
    <x v="0"/>
    <s v="Francisco Pérez-Olaeta"/>
    <s v="123 6th Street"/>
    <x v="5"/>
    <s v="WI"/>
    <n v="99999"/>
    <s v="USA"/>
    <s v="Credit Card"/>
    <x v="7"/>
    <x v="3"/>
    <n v="12.75"/>
    <n v="71"/>
    <x v="38"/>
    <n v="91.430250000000001"/>
  </r>
  <r>
    <n v="1044"/>
    <x v="13"/>
    <n v="8"/>
    <x v="3"/>
    <s v="123 8th Street"/>
    <x v="2"/>
    <x v="2"/>
    <n v="99999"/>
    <s v="USA"/>
    <x v="2"/>
    <x v="2"/>
    <d v="2014-02-10T00:00:00"/>
    <x v="0"/>
    <s v="Elizabeth Andersen"/>
    <s v="123 8th Street"/>
    <x v="2"/>
    <s v="OR"/>
    <n v="99999"/>
    <s v="USA"/>
    <s v="Check"/>
    <x v="7"/>
    <x v="3"/>
    <n v="12.75"/>
    <n v="13"/>
    <x v="39"/>
    <n v="15.746249999999998"/>
  </r>
  <r>
    <n v="1045"/>
    <x v="21"/>
    <n v="25"/>
    <x v="13"/>
    <s v="789 25th Street"/>
    <x v="7"/>
    <x v="7"/>
    <n v="99999"/>
    <s v="USA"/>
    <x v="6"/>
    <x v="1"/>
    <d v="2014-02-27T00:00:00"/>
    <x v="1"/>
    <s v="John Rodman"/>
    <s v="789 25th Street"/>
    <x v="7"/>
    <s v="IL"/>
    <n v="99999"/>
    <s v="USA"/>
    <s v="Cash"/>
    <x v="12"/>
    <x v="7"/>
    <n v="22"/>
    <n v="98"/>
    <x v="40"/>
    <n v="204.82000000000002"/>
  </r>
  <r>
    <n v="1046"/>
    <x v="22"/>
    <n v="26"/>
    <x v="14"/>
    <s v="789 26th Street"/>
    <x v="9"/>
    <x v="9"/>
    <n v="99999"/>
    <s v="USA"/>
    <x v="5"/>
    <x v="3"/>
    <d v="2014-02-28T00:00:00"/>
    <x v="2"/>
    <s v="Run Liu"/>
    <s v="789 26th Street"/>
    <x v="9"/>
    <s v="FL"/>
    <n v="99999"/>
    <s v="USA"/>
    <s v="Credit Card"/>
    <x v="11"/>
    <x v="6"/>
    <n v="25"/>
    <n v="21"/>
    <x v="41"/>
    <n v="53.550000000000004"/>
  </r>
  <r>
    <n v="1047"/>
    <x v="23"/>
    <n v="29"/>
    <x v="4"/>
    <s v="789 29th Street"/>
    <x v="3"/>
    <x v="3"/>
    <n v="99999"/>
    <s v="USA"/>
    <x v="3"/>
    <x v="0"/>
    <d v="2014-03-03T00:00:00"/>
    <x v="0"/>
    <s v="Soo Jung Lee"/>
    <s v="789 29th Street"/>
    <x v="3"/>
    <s v="CO"/>
    <n v="99999"/>
    <s v="USA"/>
    <s v="Check"/>
    <x v="19"/>
    <x v="12"/>
    <n v="39"/>
    <n v="26"/>
    <x v="42"/>
    <n v="106.47000000000001"/>
  </r>
  <r>
    <n v="1048"/>
    <x v="15"/>
    <n v="6"/>
    <x v="6"/>
    <s v="123 6th Street"/>
    <x v="5"/>
    <x v="5"/>
    <n v="99999"/>
    <s v="USA"/>
    <x v="4"/>
    <x v="2"/>
    <d v="2014-02-08T00:00:00"/>
    <x v="2"/>
    <s v="Francisco Pérez-Olaeta"/>
    <s v="123 6th Street"/>
    <x v="5"/>
    <s v="WI"/>
    <n v="99999"/>
    <s v="USA"/>
    <s v="Check"/>
    <x v="2"/>
    <x v="1"/>
    <n v="30"/>
    <n v="96"/>
    <x v="34"/>
    <n v="296.64"/>
  </r>
  <r>
    <n v="1049"/>
    <x v="15"/>
    <n v="6"/>
    <x v="6"/>
    <s v="123 6th Street"/>
    <x v="5"/>
    <x v="5"/>
    <n v="99999"/>
    <s v="USA"/>
    <x v="4"/>
    <x v="2"/>
    <d v="2014-02-08T00:00:00"/>
    <x v="2"/>
    <s v="Francisco Pérez-Olaeta"/>
    <s v="123 6th Street"/>
    <x v="5"/>
    <s v="WI"/>
    <n v="99999"/>
    <s v="USA"/>
    <s v="Check"/>
    <x v="3"/>
    <x v="1"/>
    <n v="53"/>
    <n v="16"/>
    <x v="43"/>
    <n v="88.192000000000021"/>
  </r>
  <r>
    <n v="1050"/>
    <x v="24"/>
    <n v="4"/>
    <x v="1"/>
    <s v="123 4th Street"/>
    <x v="1"/>
    <x v="1"/>
    <n v="99999"/>
    <s v="USA"/>
    <x v="1"/>
    <x v="1"/>
    <m/>
    <x v="3"/>
    <s v="Christina Lee"/>
    <s v="123 4th Street"/>
    <x v="1"/>
    <s v="NY"/>
    <n v="99999"/>
    <s v="USA"/>
    <m/>
    <x v="20"/>
    <x v="9"/>
    <n v="38"/>
    <n v="96"/>
    <x v="44"/>
    <n v="346.56"/>
  </r>
  <r>
    <n v="1051"/>
    <x v="14"/>
    <n v="3"/>
    <x v="5"/>
    <s v="123 3rd Street"/>
    <x v="4"/>
    <x v="4"/>
    <n v="99999"/>
    <s v="USA"/>
    <x v="0"/>
    <x v="0"/>
    <m/>
    <x v="3"/>
    <s v="Thomas Axerr"/>
    <s v="123 3rd Street"/>
    <x v="4"/>
    <s v="CA"/>
    <n v="99999"/>
    <s v="USA"/>
    <m/>
    <x v="10"/>
    <x v="0"/>
    <n v="2.99"/>
    <n v="75"/>
    <x v="45"/>
    <n v="23.097750000000005"/>
  </r>
  <r>
    <n v="1052"/>
    <x v="25"/>
    <n v="9"/>
    <x v="12"/>
    <s v="123 9th Street"/>
    <x v="11"/>
    <x v="11"/>
    <n v="99999"/>
    <s v="USA"/>
    <x v="7"/>
    <x v="0"/>
    <n v="41709"/>
    <x v="1"/>
    <s v="Sven Mortensen"/>
    <s v="123 9th Street"/>
    <x v="11"/>
    <s v="UT"/>
    <n v="99999"/>
    <s v="USA"/>
    <s v="Check"/>
    <x v="14"/>
    <x v="9"/>
    <n v="19.5"/>
    <n v="55"/>
    <x v="46"/>
    <n v="108.32250000000001"/>
  </r>
  <r>
    <n v="1053"/>
    <x v="25"/>
    <n v="9"/>
    <x v="12"/>
    <s v="123 9th Street"/>
    <x v="11"/>
    <x v="11"/>
    <n v="99999"/>
    <s v="USA"/>
    <x v="7"/>
    <x v="0"/>
    <d v="2014-03-11T00:00:00"/>
    <x v="1"/>
    <s v="Sven Mortensen"/>
    <s v="123 9th Street"/>
    <x v="11"/>
    <s v="UT"/>
    <n v="99999"/>
    <s v="USA"/>
    <s v="Check"/>
    <x v="15"/>
    <x v="10"/>
    <n v="34.799999999999997"/>
    <n v="11"/>
    <x v="47"/>
    <n v="36.748799999999996"/>
  </r>
  <r>
    <n v="1054"/>
    <x v="26"/>
    <n v="6"/>
    <x v="6"/>
    <s v="123 6th Street"/>
    <x v="5"/>
    <x v="5"/>
    <n v="99999"/>
    <s v="USA"/>
    <x v="4"/>
    <x v="2"/>
    <d v="2014-03-08T00:00:00"/>
    <x v="0"/>
    <s v="Francisco Pérez-Olaeta"/>
    <s v="123 6th Street"/>
    <x v="5"/>
    <s v="WI"/>
    <n v="99999"/>
    <s v="USA"/>
    <s v="Credit Card"/>
    <x v="0"/>
    <x v="0"/>
    <n v="14"/>
    <n v="53"/>
    <x v="48"/>
    <n v="71.974000000000004"/>
  </r>
  <r>
    <n v="1055"/>
    <x v="27"/>
    <n v="8"/>
    <x v="3"/>
    <s v="123 8th Street"/>
    <x v="2"/>
    <x v="2"/>
    <n v="99999"/>
    <s v="USA"/>
    <x v="2"/>
    <x v="2"/>
    <d v="2014-03-10T00:00:00"/>
    <x v="0"/>
    <s v="Elizabeth Andersen"/>
    <s v="123 8th Street"/>
    <x v="2"/>
    <s v="OR"/>
    <n v="99999"/>
    <s v="USA"/>
    <s v="Check"/>
    <x v="9"/>
    <x v="5"/>
    <n v="40"/>
    <n v="85"/>
    <x v="49"/>
    <n v="357"/>
  </r>
  <r>
    <n v="1056"/>
    <x v="27"/>
    <n v="8"/>
    <x v="3"/>
    <s v="123 8th Street"/>
    <x v="2"/>
    <x v="2"/>
    <n v="99999"/>
    <s v="USA"/>
    <x v="2"/>
    <x v="2"/>
    <d v="2014-03-10T00:00:00"/>
    <x v="0"/>
    <s v="Elizabeth Andersen"/>
    <s v="123 8th Street"/>
    <x v="2"/>
    <s v="OR"/>
    <n v="99999"/>
    <s v="USA"/>
    <s v="Check"/>
    <x v="6"/>
    <x v="2"/>
    <n v="9.1999999999999993"/>
    <n v="97"/>
    <x v="50"/>
    <n v="91.024800000000013"/>
  </r>
  <r>
    <n v="1057"/>
    <x v="28"/>
    <n v="25"/>
    <x v="13"/>
    <s v="789 25th Street"/>
    <x v="7"/>
    <x v="7"/>
    <n v="99999"/>
    <s v="USA"/>
    <x v="6"/>
    <x v="1"/>
    <d v="2014-03-27T00:00:00"/>
    <x v="1"/>
    <s v="John Rodman"/>
    <s v="789 25th Street"/>
    <x v="7"/>
    <s v="IL"/>
    <n v="99999"/>
    <s v="USA"/>
    <s v="Cash"/>
    <x v="21"/>
    <x v="2"/>
    <n v="10"/>
    <n v="46"/>
    <x v="51"/>
    <n v="46.46"/>
  </r>
  <r>
    <n v="1058"/>
    <x v="29"/>
    <n v="26"/>
    <x v="14"/>
    <s v="789 26th Street"/>
    <x v="9"/>
    <x v="9"/>
    <n v="99999"/>
    <s v="USA"/>
    <x v="5"/>
    <x v="3"/>
    <d v="2014-03-28T00:00:00"/>
    <x v="2"/>
    <s v="Run Liu"/>
    <s v="789 26th Street"/>
    <x v="9"/>
    <s v="FL"/>
    <n v="99999"/>
    <s v="USA"/>
    <s v="Credit Card"/>
    <x v="22"/>
    <x v="13"/>
    <n v="21.35"/>
    <n v="97"/>
    <x v="52"/>
    <n v="196.74025"/>
  </r>
  <r>
    <n v="1059"/>
    <x v="29"/>
    <n v="26"/>
    <x v="14"/>
    <s v="789 26th Street"/>
    <x v="9"/>
    <x v="9"/>
    <n v="99999"/>
    <s v="USA"/>
    <x v="5"/>
    <x v="3"/>
    <d v="2014-03-28T00:00:00"/>
    <x v="2"/>
    <s v="Run Liu"/>
    <s v="789 26th Street"/>
    <x v="9"/>
    <s v="FL"/>
    <n v="99999"/>
    <s v="USA"/>
    <s v="Credit Card"/>
    <x v="8"/>
    <x v="4"/>
    <n v="9.65"/>
    <n v="97"/>
    <x v="53"/>
    <n v="95.477100000000021"/>
  </r>
  <r>
    <n v="1060"/>
    <x v="29"/>
    <n v="26"/>
    <x v="14"/>
    <s v="789 26th Street"/>
    <x v="9"/>
    <x v="9"/>
    <n v="99999"/>
    <s v="USA"/>
    <x v="5"/>
    <x v="3"/>
    <d v="2014-03-28T00:00:00"/>
    <x v="2"/>
    <s v="Run Liu"/>
    <s v="789 26th Street"/>
    <x v="9"/>
    <s v="FL"/>
    <n v="99999"/>
    <s v="USA"/>
    <s v="Credit Card"/>
    <x v="13"/>
    <x v="8"/>
    <n v="18.399999999999999"/>
    <n v="65"/>
    <x v="54"/>
    <n v="123.18800000000002"/>
  </r>
  <r>
    <n v="1061"/>
    <x v="30"/>
    <n v="29"/>
    <x v="4"/>
    <s v="789 29th Street"/>
    <x v="3"/>
    <x v="3"/>
    <n v="99999"/>
    <s v="USA"/>
    <x v="3"/>
    <x v="0"/>
    <d v="2014-03-31T00:00:00"/>
    <x v="0"/>
    <s v="Soo Jung Lee"/>
    <s v="789 29th Street"/>
    <x v="3"/>
    <s v="CO"/>
    <n v="99999"/>
    <s v="USA"/>
    <s v="Check"/>
    <x v="0"/>
    <x v="0"/>
    <n v="14"/>
    <n v="72"/>
    <x v="55"/>
    <n v="100.80000000000001"/>
  </r>
  <r>
    <n v="1062"/>
    <x v="26"/>
    <n v="6"/>
    <x v="6"/>
    <s v="123 6th Street"/>
    <x v="5"/>
    <x v="5"/>
    <n v="99999"/>
    <s v="USA"/>
    <x v="4"/>
    <x v="2"/>
    <d v="2014-03-08T00:00:00"/>
    <x v="2"/>
    <s v="Francisco Pérez-Olaeta"/>
    <s v="123 6th Street"/>
    <x v="5"/>
    <s v="WI"/>
    <n v="99999"/>
    <s v="USA"/>
    <s v="Check"/>
    <x v="7"/>
    <x v="3"/>
    <n v="12.75"/>
    <n v="16"/>
    <x v="56"/>
    <n v="20.196000000000002"/>
  </r>
  <r>
    <n v="1064"/>
    <x v="31"/>
    <n v="4"/>
    <x v="1"/>
    <s v="123 4th Street"/>
    <x v="1"/>
    <x v="1"/>
    <n v="99999"/>
    <s v="USA"/>
    <x v="1"/>
    <x v="1"/>
    <d v="2014-03-06T00:00:00"/>
    <x v="1"/>
    <s v="Christina Lee"/>
    <s v="123 4th Street"/>
    <x v="1"/>
    <s v="NY"/>
    <n v="99999"/>
    <s v="USA"/>
    <s v="Credit Card"/>
    <x v="23"/>
    <x v="6"/>
    <n v="81"/>
    <n v="77"/>
    <x v="57"/>
    <n v="642.41100000000006"/>
  </r>
  <r>
    <n v="1065"/>
    <x v="31"/>
    <n v="4"/>
    <x v="1"/>
    <s v="123 4th Street"/>
    <x v="1"/>
    <x v="1"/>
    <n v="99999"/>
    <s v="USA"/>
    <x v="1"/>
    <x v="1"/>
    <d v="2014-03-06T00:00:00"/>
    <x v="1"/>
    <s v="Christina Lee"/>
    <s v="123 4th Street"/>
    <x v="1"/>
    <s v="NY"/>
    <n v="99999"/>
    <s v="USA"/>
    <s v="Credit Card"/>
    <x v="24"/>
    <x v="14"/>
    <n v="7"/>
    <n v="37"/>
    <x v="58"/>
    <n v="24.605"/>
  </r>
  <r>
    <n v="1067"/>
    <x v="27"/>
    <n v="8"/>
    <x v="3"/>
    <s v="123 8th Street"/>
    <x v="2"/>
    <x v="2"/>
    <n v="99999"/>
    <s v="USA"/>
    <x v="2"/>
    <x v="2"/>
    <d v="2014-03-10T00:00:00"/>
    <x v="2"/>
    <s v="Elizabeth Andersen"/>
    <s v="123 8th Street"/>
    <x v="2"/>
    <s v="OR"/>
    <n v="99999"/>
    <s v="USA"/>
    <s v="Credit Card"/>
    <x v="15"/>
    <x v="10"/>
    <n v="34.799999999999997"/>
    <n v="63"/>
    <x v="59"/>
    <n v="217.04759999999999"/>
  </r>
  <r>
    <n v="1070"/>
    <x v="32"/>
    <n v="3"/>
    <x v="5"/>
    <s v="123 3rd Street"/>
    <x v="4"/>
    <x v="4"/>
    <n v="99999"/>
    <s v="USA"/>
    <x v="0"/>
    <x v="0"/>
    <d v="2014-03-05T00:00:00"/>
    <x v="0"/>
    <s v="Thomas Axerr"/>
    <s v="123 3rd Street"/>
    <x v="4"/>
    <s v="CA"/>
    <n v="99999"/>
    <s v="USA"/>
    <s v="Cash"/>
    <x v="16"/>
    <x v="7"/>
    <n v="10"/>
    <n v="48"/>
    <x v="60"/>
    <n v="48"/>
  </r>
  <r>
    <n v="1071"/>
    <x v="32"/>
    <n v="3"/>
    <x v="5"/>
    <s v="123 3rd Street"/>
    <x v="4"/>
    <x v="4"/>
    <n v="99999"/>
    <s v="USA"/>
    <x v="0"/>
    <x v="0"/>
    <d v="2014-03-05T00:00:00"/>
    <x v="0"/>
    <s v="Thomas Axerr"/>
    <s v="123 3rd Street"/>
    <x v="4"/>
    <s v="CA"/>
    <n v="99999"/>
    <s v="USA"/>
    <s v="Cash"/>
    <x v="9"/>
    <x v="5"/>
    <n v="40"/>
    <n v="71"/>
    <x v="61"/>
    <n v="295.36"/>
  </r>
  <r>
    <n v="1075"/>
    <x v="33"/>
    <n v="10"/>
    <x v="8"/>
    <s v="123 10th Street"/>
    <x v="7"/>
    <x v="7"/>
    <n v="99999"/>
    <s v="USA"/>
    <x v="6"/>
    <x v="1"/>
    <d v="2014-03-12T00:00:00"/>
    <x v="0"/>
    <s v="Roland Wacker"/>
    <s v="123 10th Street"/>
    <x v="7"/>
    <s v="IL"/>
    <n v="99999"/>
    <s v="USA"/>
    <s v="Credit Card"/>
    <x v="18"/>
    <x v="1"/>
    <n v="10"/>
    <n v="55"/>
    <x v="62"/>
    <n v="55"/>
  </r>
  <r>
    <n v="1077"/>
    <x v="33"/>
    <n v="10"/>
    <x v="8"/>
    <s v="123 10th Street"/>
    <x v="7"/>
    <x v="7"/>
    <n v="99999"/>
    <s v="USA"/>
    <x v="6"/>
    <x v="1"/>
    <m/>
    <x v="1"/>
    <s v="Roland Wacker"/>
    <s v="123 10th Street"/>
    <x v="7"/>
    <s v="IL"/>
    <n v="99999"/>
    <s v="USA"/>
    <m/>
    <x v="1"/>
    <x v="1"/>
    <n v="3.5"/>
    <n v="21"/>
    <x v="63"/>
    <n v="7.3500000000000005"/>
  </r>
  <r>
    <n v="1078"/>
    <x v="34"/>
    <n v="11"/>
    <x v="10"/>
    <s v="123 11th Street"/>
    <x v="9"/>
    <x v="9"/>
    <n v="99999"/>
    <s v="USA"/>
    <x v="5"/>
    <x v="3"/>
    <m/>
    <x v="2"/>
    <s v="Peter Krschne"/>
    <s v="123 11th Street"/>
    <x v="9"/>
    <s v="FL"/>
    <n v="99999"/>
    <s v="USA"/>
    <m/>
    <x v="9"/>
    <x v="5"/>
    <n v="40"/>
    <n v="67"/>
    <x v="64"/>
    <n v="270.68"/>
  </r>
  <r>
    <n v="1079"/>
    <x v="23"/>
    <n v="1"/>
    <x v="11"/>
    <s v="123 1st Street"/>
    <x v="10"/>
    <x v="10"/>
    <n v="99999"/>
    <s v="USA"/>
    <x v="2"/>
    <x v="2"/>
    <m/>
    <x v="2"/>
    <s v="Anna Bedecs"/>
    <s v="123 1st Street"/>
    <x v="10"/>
    <s v="WA"/>
    <n v="99999"/>
    <s v="USA"/>
    <m/>
    <x v="13"/>
    <x v="8"/>
    <n v="18.399999999999999"/>
    <n v="75"/>
    <x v="65"/>
    <n v="138"/>
  </r>
  <r>
    <n v="1080"/>
    <x v="35"/>
    <n v="28"/>
    <x v="7"/>
    <s v="789 28th Street"/>
    <x v="6"/>
    <x v="6"/>
    <n v="99999"/>
    <s v="USA"/>
    <x v="5"/>
    <x v="3"/>
    <d v="2014-03-30T00:00:00"/>
    <x v="2"/>
    <s v="Amritansh Raghav"/>
    <s v="789 28th Street"/>
    <x v="6"/>
    <s v="TN"/>
    <n v="99999"/>
    <s v="USA"/>
    <s v="Credit Card"/>
    <x v="5"/>
    <x v="0"/>
    <n v="46"/>
    <n v="17"/>
    <x v="66"/>
    <n v="80.546000000000006"/>
  </r>
  <r>
    <n v="1081"/>
    <x v="36"/>
    <n v="4"/>
    <x v="1"/>
    <s v="123 4th Street"/>
    <x v="1"/>
    <x v="1"/>
    <n v="99999"/>
    <s v="USA"/>
    <x v="1"/>
    <x v="1"/>
    <d v="2014-04-06T00:00:00"/>
    <x v="1"/>
    <s v="Christina Lee"/>
    <s v="123 4th Street"/>
    <x v="1"/>
    <s v="NY"/>
    <n v="99999"/>
    <s v="USA"/>
    <s v="Credit Card"/>
    <x v="1"/>
    <x v="1"/>
    <n v="3.5"/>
    <n v="48"/>
    <x v="67"/>
    <n v="16.295999999999999"/>
  </r>
  <r>
    <n v="1082"/>
    <x v="37"/>
    <n v="12"/>
    <x v="2"/>
    <s v="123 12th Street"/>
    <x v="0"/>
    <x v="0"/>
    <n v="99999"/>
    <s v="USA"/>
    <x v="0"/>
    <x v="0"/>
    <d v="2014-04-14T00:00:00"/>
    <x v="0"/>
    <s v="John Edwards"/>
    <s v="123 12th Street"/>
    <x v="0"/>
    <s v="NV"/>
    <n v="99999"/>
    <s v="USA"/>
    <s v="Credit Card"/>
    <x v="4"/>
    <x v="0"/>
    <n v="18"/>
    <n v="74"/>
    <x v="68"/>
    <n v="137.19600000000003"/>
  </r>
  <r>
    <n v="1083"/>
    <x v="37"/>
    <n v="12"/>
    <x v="2"/>
    <s v="123 12th Street"/>
    <x v="0"/>
    <x v="0"/>
    <n v="99999"/>
    <s v="USA"/>
    <x v="0"/>
    <x v="0"/>
    <d v="2014-04-14T00:00:00"/>
    <x v="0"/>
    <s v="John Edwards"/>
    <s v="123 12th Street"/>
    <x v="0"/>
    <s v="NV"/>
    <n v="99999"/>
    <s v="USA"/>
    <s v="Credit Card"/>
    <x v="5"/>
    <x v="0"/>
    <n v="46"/>
    <n v="96"/>
    <x v="69"/>
    <n v="428.35200000000003"/>
  </r>
  <r>
    <n v="1084"/>
    <x v="38"/>
    <n v="8"/>
    <x v="3"/>
    <s v="123 8th Street"/>
    <x v="2"/>
    <x v="2"/>
    <n v="99999"/>
    <s v="USA"/>
    <x v="2"/>
    <x v="2"/>
    <d v="2014-04-10T00:00:00"/>
    <x v="2"/>
    <s v="Elizabeth Andersen"/>
    <s v="123 8th Street"/>
    <x v="2"/>
    <s v="OR"/>
    <n v="99999"/>
    <s v="USA"/>
    <s v="Credit Card"/>
    <x v="6"/>
    <x v="2"/>
    <n v="9.1999999999999993"/>
    <n v="12"/>
    <x v="70"/>
    <n v="11.3712"/>
  </r>
  <r>
    <n v="1085"/>
    <x v="36"/>
    <n v="4"/>
    <x v="1"/>
    <s v="123 4th Street"/>
    <x v="1"/>
    <x v="1"/>
    <n v="99999"/>
    <s v="USA"/>
    <x v="1"/>
    <x v="1"/>
    <n v="41735"/>
    <x v="2"/>
    <s v="Christina Lee"/>
    <s v="123 4th Street"/>
    <x v="1"/>
    <s v="NY"/>
    <n v="99999"/>
    <s v="USA"/>
    <s v="Check"/>
    <x v="6"/>
    <x v="2"/>
    <n v="9.1999999999999993"/>
    <n v="62"/>
    <x v="71"/>
    <n v="58.751199999999997"/>
  </r>
  <r>
    <n v="1086"/>
    <x v="39"/>
    <n v="29"/>
    <x v="4"/>
    <s v="789 29th Street"/>
    <x v="3"/>
    <x v="3"/>
    <n v="99999"/>
    <s v="USA"/>
    <x v="3"/>
    <x v="0"/>
    <n v="41760"/>
    <x v="0"/>
    <s v="Soo Jung Lee"/>
    <s v="789 29th Street"/>
    <x v="3"/>
    <s v="CO"/>
    <n v="99999"/>
    <s v="USA"/>
    <s v="Check"/>
    <x v="7"/>
    <x v="3"/>
    <n v="12.75"/>
    <n v="35"/>
    <x v="72"/>
    <n v="45.963750000000005"/>
  </r>
  <r>
    <n v="1087"/>
    <x v="40"/>
    <n v="3"/>
    <x v="5"/>
    <s v="123 3rd Street"/>
    <x v="4"/>
    <x v="4"/>
    <n v="99999"/>
    <s v="USA"/>
    <x v="0"/>
    <x v="0"/>
    <n v="41734"/>
    <x v="0"/>
    <s v="Thomas Axerr"/>
    <s v="123 3rd Street"/>
    <x v="4"/>
    <s v="CA"/>
    <n v="99999"/>
    <s v="USA"/>
    <s v="Cash"/>
    <x v="8"/>
    <x v="4"/>
    <n v="9.65"/>
    <n v="95"/>
    <x v="73"/>
    <n v="91.675000000000011"/>
  </r>
  <r>
    <n v="1088"/>
    <x v="41"/>
    <n v="6"/>
    <x v="6"/>
    <s v="123 6th Street"/>
    <x v="5"/>
    <x v="5"/>
    <n v="99999"/>
    <s v="USA"/>
    <x v="4"/>
    <x v="2"/>
    <n v="41737"/>
    <x v="0"/>
    <s v="Francisco Pérez-Olaeta"/>
    <s v="123 6th Street"/>
    <x v="5"/>
    <s v="WI"/>
    <n v="99999"/>
    <s v="USA"/>
    <s v="Credit Card"/>
    <x v="9"/>
    <x v="5"/>
    <n v="40"/>
    <n v="17"/>
    <x v="74"/>
    <n v="68.680000000000007"/>
  </r>
  <r>
    <n v="1089"/>
    <x v="42"/>
    <n v="28"/>
    <x v="7"/>
    <s v="789 28th Street"/>
    <x v="6"/>
    <x v="6"/>
    <n v="99999"/>
    <s v="USA"/>
    <x v="5"/>
    <x v="3"/>
    <d v="2014-04-30T00:00:00"/>
    <x v="2"/>
    <s v="Amritansh Raghav"/>
    <s v="789 28th Street"/>
    <x v="6"/>
    <s v="TN"/>
    <n v="99999"/>
    <s v="USA"/>
    <s v="Check"/>
    <x v="5"/>
    <x v="0"/>
    <n v="46"/>
    <n v="96"/>
    <x v="69"/>
    <n v="463.68000000000006"/>
  </r>
  <r>
    <n v="1090"/>
    <x v="38"/>
    <n v="8"/>
    <x v="3"/>
    <s v="123 8th Street"/>
    <x v="2"/>
    <x v="2"/>
    <n v="99999"/>
    <s v="USA"/>
    <x v="2"/>
    <x v="2"/>
    <d v="2014-04-10T00:00:00"/>
    <x v="2"/>
    <s v="Elizabeth Andersen"/>
    <s v="123 8th Street"/>
    <x v="2"/>
    <s v="OR"/>
    <n v="99999"/>
    <s v="USA"/>
    <s v="Check"/>
    <x v="7"/>
    <x v="3"/>
    <n v="12.75"/>
    <n v="83"/>
    <x v="75"/>
    <n v="102.65025"/>
  </r>
  <r>
    <n v="1091"/>
    <x v="43"/>
    <n v="10"/>
    <x v="8"/>
    <s v="123 10th Street"/>
    <x v="7"/>
    <x v="7"/>
    <n v="99999"/>
    <s v="USA"/>
    <x v="6"/>
    <x v="1"/>
    <d v="2014-04-12T00:00:00"/>
    <x v="0"/>
    <s v="Roland Wacker"/>
    <s v="123 10th Street"/>
    <x v="7"/>
    <s v="IL"/>
    <n v="99999"/>
    <s v="USA"/>
    <s v="Credit Card"/>
    <x v="10"/>
    <x v="0"/>
    <n v="2.99"/>
    <n v="88"/>
    <x v="76"/>
    <n v="26.04888"/>
  </r>
  <r>
    <n v="1092"/>
    <x v="44"/>
    <n v="7"/>
    <x v="9"/>
    <s v="123 7th Street"/>
    <x v="8"/>
    <x v="8"/>
    <n v="99999"/>
    <s v="USA"/>
    <x v="2"/>
    <x v="2"/>
    <m/>
    <x v="3"/>
    <s v="Ming-Yang Xie"/>
    <s v="123 7th Street"/>
    <x v="8"/>
    <s v="ID"/>
    <n v="99999"/>
    <s v="USA"/>
    <m/>
    <x v="5"/>
    <x v="0"/>
    <n v="46"/>
    <n v="59"/>
    <x v="77"/>
    <n v="284.97000000000003"/>
  </r>
  <r>
    <n v="1093"/>
    <x v="43"/>
    <n v="10"/>
    <x v="8"/>
    <s v="123 10th Street"/>
    <x v="7"/>
    <x v="7"/>
    <n v="99999"/>
    <s v="USA"/>
    <x v="6"/>
    <x v="1"/>
    <d v="2014-04-12T00:00:00"/>
    <x v="1"/>
    <s v="Roland Wacker"/>
    <s v="123 10th Street"/>
    <x v="7"/>
    <s v="IL"/>
    <n v="99999"/>
    <s v="USA"/>
    <m/>
    <x v="11"/>
    <x v="6"/>
    <n v="25"/>
    <n v="27"/>
    <x v="78"/>
    <n v="68.849999999999994"/>
  </r>
  <r>
    <n v="1094"/>
    <x v="43"/>
    <n v="10"/>
    <x v="8"/>
    <s v="123 10th Street"/>
    <x v="7"/>
    <x v="7"/>
    <n v="99999"/>
    <s v="USA"/>
    <x v="6"/>
    <x v="1"/>
    <d v="2014-04-12T00:00:00"/>
    <x v="1"/>
    <s v="Roland Wacker"/>
    <s v="123 10th Street"/>
    <x v="7"/>
    <s v="IL"/>
    <n v="99999"/>
    <s v="USA"/>
    <m/>
    <x v="12"/>
    <x v="7"/>
    <n v="22"/>
    <n v="37"/>
    <x v="79"/>
    <n v="85.470000000000013"/>
  </r>
  <r>
    <n v="1095"/>
    <x v="43"/>
    <n v="10"/>
    <x v="8"/>
    <s v="123 10th Street"/>
    <x v="7"/>
    <x v="7"/>
    <n v="99999"/>
    <s v="USA"/>
    <x v="6"/>
    <x v="1"/>
    <d v="2014-04-12T00:00:00"/>
    <x v="1"/>
    <s v="Roland Wacker"/>
    <s v="123 10th Street"/>
    <x v="7"/>
    <s v="IL"/>
    <n v="99999"/>
    <s v="USA"/>
    <m/>
    <x v="6"/>
    <x v="2"/>
    <n v="9.1999999999999993"/>
    <n v="75"/>
    <x v="80"/>
    <n v="69"/>
  </r>
  <r>
    <n v="1096"/>
    <x v="45"/>
    <n v="11"/>
    <x v="10"/>
    <s v="123 11th Street"/>
    <x v="9"/>
    <x v="9"/>
    <n v="99999"/>
    <s v="USA"/>
    <x v="5"/>
    <x v="3"/>
    <m/>
    <x v="2"/>
    <s v="Peter Krschne"/>
    <s v="123 11th Street"/>
    <x v="9"/>
    <s v="FL"/>
    <n v="99999"/>
    <s v="USA"/>
    <m/>
    <x v="1"/>
    <x v="1"/>
    <n v="3.5"/>
    <n v="71"/>
    <x v="81"/>
    <n v="24.104500000000002"/>
  </r>
  <r>
    <n v="1097"/>
    <x v="45"/>
    <n v="11"/>
    <x v="10"/>
    <s v="123 11th Street"/>
    <x v="9"/>
    <x v="9"/>
    <n v="99999"/>
    <s v="USA"/>
    <x v="5"/>
    <x v="3"/>
    <m/>
    <x v="2"/>
    <s v="Peter Krschne"/>
    <s v="123 11th Street"/>
    <x v="9"/>
    <s v="FL"/>
    <n v="99999"/>
    <s v="USA"/>
    <m/>
    <x v="10"/>
    <x v="0"/>
    <n v="2.99"/>
    <n v="88"/>
    <x v="76"/>
    <n v="26.04888"/>
  </r>
  <r>
    <n v="1098"/>
    <x v="46"/>
    <n v="1"/>
    <x v="11"/>
    <s v="123 1st Street"/>
    <x v="10"/>
    <x v="10"/>
    <n v="99999"/>
    <s v="USA"/>
    <x v="2"/>
    <x v="2"/>
    <m/>
    <x v="3"/>
    <s v="Anna Bedecs"/>
    <s v="123 1st Street"/>
    <x v="10"/>
    <s v="WA"/>
    <n v="99999"/>
    <s v="USA"/>
    <m/>
    <x v="4"/>
    <x v="0"/>
    <n v="18"/>
    <n v="55"/>
    <x v="82"/>
    <n v="97.02"/>
  </r>
  <r>
    <n v="1099"/>
    <x v="47"/>
    <n v="29"/>
    <x v="4"/>
    <s v="789 29th Street"/>
    <x v="3"/>
    <x v="3"/>
    <n v="99999"/>
    <s v="USA"/>
    <x v="3"/>
    <x v="0"/>
    <d v="2014-05-31T00:00:00"/>
    <x v="0"/>
    <s v="Soo Jung Lee"/>
    <s v="789 29th Street"/>
    <x v="3"/>
    <s v="CO"/>
    <n v="99999"/>
    <s v="USA"/>
    <s v="Check"/>
    <x v="7"/>
    <x v="3"/>
    <n v="12.75"/>
    <n v="14"/>
    <x v="83"/>
    <n v="16.9575"/>
  </r>
  <r>
    <n v="1100"/>
    <x v="48"/>
    <n v="3"/>
    <x v="5"/>
    <s v="123 3rd Street"/>
    <x v="4"/>
    <x v="4"/>
    <n v="99999"/>
    <s v="USA"/>
    <x v="0"/>
    <x v="0"/>
    <d v="2014-05-05T00:00:00"/>
    <x v="0"/>
    <s v="Thomas Axerr"/>
    <s v="123 3rd Street"/>
    <x v="4"/>
    <s v="CA"/>
    <n v="99999"/>
    <s v="USA"/>
    <s v="Cash"/>
    <x v="8"/>
    <x v="4"/>
    <n v="9.65"/>
    <n v="43"/>
    <x v="84"/>
    <n v="42.324900000000007"/>
  </r>
  <r>
    <n v="1101"/>
    <x v="49"/>
    <n v="6"/>
    <x v="6"/>
    <s v="123 6th Street"/>
    <x v="5"/>
    <x v="5"/>
    <n v="99999"/>
    <s v="USA"/>
    <x v="4"/>
    <x v="2"/>
    <n v="41767"/>
    <x v="0"/>
    <s v="Francisco Pérez-Olaeta"/>
    <s v="123 6th Street"/>
    <x v="5"/>
    <s v="WI"/>
    <n v="99999"/>
    <s v="USA"/>
    <s v="Credit Card"/>
    <x v="9"/>
    <x v="5"/>
    <n v="40"/>
    <n v="63"/>
    <x v="85"/>
    <n v="254.52"/>
  </r>
  <r>
    <n v="1102"/>
    <x v="50"/>
    <n v="28"/>
    <x v="7"/>
    <s v="789 28th Street"/>
    <x v="6"/>
    <x v="6"/>
    <n v="99999"/>
    <s v="USA"/>
    <x v="5"/>
    <x v="3"/>
    <d v="2014-05-30T00:00:00"/>
    <x v="2"/>
    <s v="Amritansh Raghav"/>
    <s v="789 28th Street"/>
    <x v="6"/>
    <s v="TN"/>
    <n v="99999"/>
    <s v="USA"/>
    <s v="Check"/>
    <x v="5"/>
    <x v="0"/>
    <n v="46"/>
    <n v="36"/>
    <x v="86"/>
    <n v="165.60000000000002"/>
  </r>
  <r>
    <n v="1103"/>
    <x v="51"/>
    <n v="8"/>
    <x v="3"/>
    <s v="123 8th Street"/>
    <x v="2"/>
    <x v="2"/>
    <n v="99999"/>
    <s v="USA"/>
    <x v="2"/>
    <x v="2"/>
    <d v="2014-05-10T00:00:00"/>
    <x v="2"/>
    <s v="Elizabeth Andersen"/>
    <s v="123 8th Street"/>
    <x v="2"/>
    <s v="OR"/>
    <n v="99999"/>
    <s v="USA"/>
    <s v="Check"/>
    <x v="7"/>
    <x v="3"/>
    <n v="12.75"/>
    <n v="41"/>
    <x v="87"/>
    <n v="54.366000000000007"/>
  </r>
  <r>
    <n v="1104"/>
    <x v="52"/>
    <n v="10"/>
    <x v="8"/>
    <s v="123 10th Street"/>
    <x v="7"/>
    <x v="7"/>
    <n v="99999"/>
    <s v="USA"/>
    <x v="6"/>
    <x v="1"/>
    <d v="2014-05-12T00:00:00"/>
    <x v="0"/>
    <s v="Roland Wacker"/>
    <s v="123 10th Street"/>
    <x v="7"/>
    <s v="IL"/>
    <n v="99999"/>
    <s v="USA"/>
    <s v="Credit Card"/>
    <x v="10"/>
    <x v="0"/>
    <n v="2.99"/>
    <n v="35"/>
    <x v="88"/>
    <n v="10.255700000000001"/>
  </r>
  <r>
    <n v="1105"/>
    <x v="53"/>
    <n v="7"/>
    <x v="9"/>
    <s v="123 7th Street"/>
    <x v="8"/>
    <x v="8"/>
    <n v="99999"/>
    <s v="USA"/>
    <x v="2"/>
    <x v="2"/>
    <m/>
    <x v="3"/>
    <s v="Ming-Yang Xie"/>
    <s v="123 7th Street"/>
    <x v="8"/>
    <s v="ID"/>
    <n v="99999"/>
    <s v="USA"/>
    <m/>
    <x v="5"/>
    <x v="0"/>
    <n v="46"/>
    <n v="31"/>
    <x v="89"/>
    <n v="136.89599999999999"/>
  </r>
  <r>
    <n v="1106"/>
    <x v="52"/>
    <n v="10"/>
    <x v="8"/>
    <s v="123 10th Street"/>
    <x v="7"/>
    <x v="7"/>
    <n v="99999"/>
    <s v="USA"/>
    <x v="6"/>
    <x v="1"/>
    <n v="41771"/>
    <x v="1"/>
    <s v="Roland Wacker"/>
    <s v="123 10th Street"/>
    <x v="7"/>
    <s v="IL"/>
    <n v="99999"/>
    <s v="USA"/>
    <m/>
    <x v="11"/>
    <x v="6"/>
    <n v="25"/>
    <n v="52"/>
    <x v="90"/>
    <n v="123.5"/>
  </r>
  <r>
    <n v="1107"/>
    <x v="52"/>
    <n v="10"/>
    <x v="8"/>
    <s v="123 10th Street"/>
    <x v="7"/>
    <x v="7"/>
    <n v="99999"/>
    <s v="USA"/>
    <x v="6"/>
    <x v="1"/>
    <n v="41771"/>
    <x v="1"/>
    <s v="Roland Wacker"/>
    <s v="123 10th Street"/>
    <x v="7"/>
    <s v="IL"/>
    <n v="99999"/>
    <s v="USA"/>
    <m/>
    <x v="12"/>
    <x v="7"/>
    <n v="22"/>
    <n v="30"/>
    <x v="91"/>
    <n v="67.320000000000007"/>
  </r>
  <r>
    <n v="1108"/>
    <x v="52"/>
    <n v="10"/>
    <x v="8"/>
    <s v="123 10th Street"/>
    <x v="7"/>
    <x v="7"/>
    <n v="99999"/>
    <s v="USA"/>
    <x v="6"/>
    <x v="1"/>
    <d v="2014-05-12T00:00:00"/>
    <x v="1"/>
    <s v="Roland Wacker"/>
    <s v="123 10th Street"/>
    <x v="7"/>
    <s v="IL"/>
    <n v="99999"/>
    <s v="USA"/>
    <m/>
    <x v="6"/>
    <x v="2"/>
    <n v="9.1999999999999993"/>
    <n v="41"/>
    <x v="92"/>
    <n v="38.474400000000003"/>
  </r>
  <r>
    <n v="1109"/>
    <x v="54"/>
    <n v="11"/>
    <x v="10"/>
    <s v="123 11th Street"/>
    <x v="9"/>
    <x v="9"/>
    <n v="99999"/>
    <s v="USA"/>
    <x v="5"/>
    <x v="3"/>
    <m/>
    <x v="2"/>
    <s v="Peter Krschne"/>
    <s v="123 11th Street"/>
    <x v="9"/>
    <s v="FL"/>
    <n v="99999"/>
    <s v="USA"/>
    <m/>
    <x v="1"/>
    <x v="1"/>
    <n v="3.5"/>
    <n v="44"/>
    <x v="93"/>
    <n v="15.246"/>
  </r>
  <r>
    <n v="1110"/>
    <x v="54"/>
    <n v="11"/>
    <x v="10"/>
    <s v="123 11th Street"/>
    <x v="9"/>
    <x v="9"/>
    <n v="99999"/>
    <s v="USA"/>
    <x v="5"/>
    <x v="3"/>
    <m/>
    <x v="2"/>
    <s v="Peter Krschne"/>
    <s v="123 11th Street"/>
    <x v="9"/>
    <s v="FL"/>
    <n v="99999"/>
    <s v="USA"/>
    <m/>
    <x v="10"/>
    <x v="0"/>
    <n v="2.99"/>
    <n v="77"/>
    <x v="94"/>
    <n v="23.023000000000003"/>
  </r>
  <r>
    <n v="1111"/>
    <x v="55"/>
    <n v="1"/>
    <x v="11"/>
    <s v="123 1st Street"/>
    <x v="10"/>
    <x v="10"/>
    <n v="99999"/>
    <s v="USA"/>
    <x v="2"/>
    <x v="2"/>
    <m/>
    <x v="3"/>
    <s v="Anna Bedecs"/>
    <s v="123 1st Street"/>
    <x v="10"/>
    <s v="WA"/>
    <n v="99999"/>
    <s v="USA"/>
    <m/>
    <x v="4"/>
    <x v="0"/>
    <n v="18"/>
    <n v="29"/>
    <x v="95"/>
    <n v="52.722000000000001"/>
  </r>
  <r>
    <n v="1112"/>
    <x v="55"/>
    <n v="1"/>
    <x v="11"/>
    <s v="123 1st Street"/>
    <x v="10"/>
    <x v="10"/>
    <n v="99999"/>
    <s v="USA"/>
    <x v="2"/>
    <x v="2"/>
    <m/>
    <x v="3"/>
    <s v="Anna Bedecs"/>
    <s v="123 1st Street"/>
    <x v="10"/>
    <s v="WA"/>
    <n v="99999"/>
    <s v="USA"/>
    <m/>
    <x v="5"/>
    <x v="0"/>
    <n v="46"/>
    <n v="77"/>
    <x v="96"/>
    <n v="368.36800000000005"/>
  </r>
  <r>
    <n v="1113"/>
    <x v="55"/>
    <n v="1"/>
    <x v="11"/>
    <s v="123 1st Street"/>
    <x v="10"/>
    <x v="10"/>
    <n v="99999"/>
    <s v="USA"/>
    <x v="2"/>
    <x v="2"/>
    <m/>
    <x v="3"/>
    <s v="Anna Bedecs"/>
    <s v="123 1st Street"/>
    <x v="10"/>
    <s v="WA"/>
    <n v="99999"/>
    <s v="USA"/>
    <m/>
    <x v="10"/>
    <x v="0"/>
    <n v="2.99"/>
    <n v="73"/>
    <x v="97"/>
    <n v="21.827000000000002"/>
  </r>
  <r>
    <n v="1114"/>
    <x v="50"/>
    <n v="28"/>
    <x v="7"/>
    <s v="789 28th Street"/>
    <x v="6"/>
    <x v="6"/>
    <n v="99999"/>
    <s v="USA"/>
    <x v="5"/>
    <x v="3"/>
    <n v="41789"/>
    <x v="2"/>
    <s v="Amritansh Raghav"/>
    <s v="789 28th Street"/>
    <x v="6"/>
    <s v="TN"/>
    <n v="99999"/>
    <s v="USA"/>
    <s v="Credit Card"/>
    <x v="8"/>
    <x v="4"/>
    <n v="9.65"/>
    <n v="74"/>
    <x v="98"/>
    <n v="67.839500000000001"/>
  </r>
  <r>
    <n v="1115"/>
    <x v="50"/>
    <n v="28"/>
    <x v="7"/>
    <s v="789 28th Street"/>
    <x v="6"/>
    <x v="6"/>
    <n v="99999"/>
    <s v="USA"/>
    <x v="5"/>
    <x v="3"/>
    <d v="2014-05-30T00:00:00"/>
    <x v="2"/>
    <s v="Amritansh Raghav"/>
    <s v="789 28th Street"/>
    <x v="6"/>
    <s v="TN"/>
    <n v="99999"/>
    <s v="USA"/>
    <s v="Credit Card"/>
    <x v="13"/>
    <x v="8"/>
    <n v="18.399999999999999"/>
    <n v="25"/>
    <x v="99"/>
    <n v="46.46"/>
  </r>
  <r>
    <n v="1116"/>
    <x v="56"/>
    <n v="9"/>
    <x v="12"/>
    <s v="123 9th Street"/>
    <x v="11"/>
    <x v="11"/>
    <n v="99999"/>
    <s v="USA"/>
    <x v="7"/>
    <x v="0"/>
    <d v="2014-05-11T00:00:00"/>
    <x v="1"/>
    <s v="Sven Mortensen"/>
    <s v="123 9th Street"/>
    <x v="11"/>
    <s v="UT"/>
    <n v="99999"/>
    <s v="USA"/>
    <s v="Check"/>
    <x v="14"/>
    <x v="9"/>
    <n v="19.5"/>
    <n v="82"/>
    <x v="100"/>
    <n v="153.50399999999999"/>
  </r>
  <r>
    <n v="1117"/>
    <x v="56"/>
    <n v="9"/>
    <x v="12"/>
    <s v="123 9th Street"/>
    <x v="11"/>
    <x v="11"/>
    <n v="99999"/>
    <s v="USA"/>
    <x v="7"/>
    <x v="0"/>
    <d v="2014-05-11T00:00:00"/>
    <x v="1"/>
    <s v="Sven Mortensen"/>
    <s v="123 9th Street"/>
    <x v="11"/>
    <s v="UT"/>
    <n v="99999"/>
    <s v="USA"/>
    <s v="Check"/>
    <x v="15"/>
    <x v="10"/>
    <n v="34.799999999999997"/>
    <n v="37"/>
    <x v="101"/>
    <n v="132.62279999999998"/>
  </r>
  <r>
    <n v="1118"/>
    <x v="49"/>
    <n v="6"/>
    <x v="6"/>
    <s v="123 6th Street"/>
    <x v="5"/>
    <x v="5"/>
    <n v="99999"/>
    <s v="USA"/>
    <x v="4"/>
    <x v="2"/>
    <n v="41767"/>
    <x v="0"/>
    <s v="Francisco Pérez-Olaeta"/>
    <s v="123 6th Street"/>
    <x v="5"/>
    <s v="WI"/>
    <n v="99999"/>
    <s v="USA"/>
    <s v="Credit Card"/>
    <x v="0"/>
    <x v="0"/>
    <n v="14"/>
    <n v="84"/>
    <x v="102"/>
    <n v="112.896"/>
  </r>
  <r>
    <n v="1119"/>
    <x v="51"/>
    <n v="8"/>
    <x v="3"/>
    <s v="123 8th Street"/>
    <x v="2"/>
    <x v="2"/>
    <n v="99999"/>
    <s v="USA"/>
    <x v="2"/>
    <x v="2"/>
    <n v="41769"/>
    <x v="0"/>
    <s v="Elizabeth Andersen"/>
    <s v="123 8th Street"/>
    <x v="2"/>
    <s v="OR"/>
    <n v="99999"/>
    <s v="USA"/>
    <s v="Check"/>
    <x v="9"/>
    <x v="5"/>
    <n v="40"/>
    <n v="73"/>
    <x v="103"/>
    <n v="283.24"/>
  </r>
  <r>
    <n v="1120"/>
    <x v="51"/>
    <n v="8"/>
    <x v="3"/>
    <s v="123 8th Street"/>
    <x v="2"/>
    <x v="2"/>
    <n v="99999"/>
    <s v="USA"/>
    <x v="2"/>
    <x v="2"/>
    <n v="41769"/>
    <x v="0"/>
    <s v="Elizabeth Andersen"/>
    <s v="123 8th Street"/>
    <x v="2"/>
    <s v="OR"/>
    <n v="99999"/>
    <s v="USA"/>
    <s v="Check"/>
    <x v="6"/>
    <x v="2"/>
    <n v="9.1999999999999993"/>
    <n v="51"/>
    <x v="104"/>
    <n v="44.573999999999998"/>
  </r>
  <r>
    <n v="1121"/>
    <x v="57"/>
    <n v="25"/>
    <x v="13"/>
    <s v="789 25th Street"/>
    <x v="7"/>
    <x v="7"/>
    <n v="99999"/>
    <s v="USA"/>
    <x v="6"/>
    <x v="1"/>
    <n v="41786"/>
    <x v="1"/>
    <s v="John Rodman"/>
    <s v="789 25th Street"/>
    <x v="7"/>
    <s v="IL"/>
    <n v="99999"/>
    <s v="USA"/>
    <s v="Cash"/>
    <x v="21"/>
    <x v="2"/>
    <n v="10"/>
    <n v="66"/>
    <x v="91"/>
    <n v="68.64"/>
  </r>
  <r>
    <n v="1122"/>
    <x v="58"/>
    <n v="26"/>
    <x v="14"/>
    <s v="789 26th Street"/>
    <x v="9"/>
    <x v="9"/>
    <n v="99999"/>
    <s v="USA"/>
    <x v="5"/>
    <x v="3"/>
    <n v="41787"/>
    <x v="2"/>
    <s v="Run Liu"/>
    <s v="789 26th Street"/>
    <x v="9"/>
    <s v="FL"/>
    <n v="99999"/>
    <s v="USA"/>
    <s v="Credit Card"/>
    <x v="22"/>
    <x v="13"/>
    <n v="21.35"/>
    <n v="36"/>
    <x v="105"/>
    <n v="74.554200000000009"/>
  </r>
  <r>
    <n v="1123"/>
    <x v="58"/>
    <n v="26"/>
    <x v="14"/>
    <s v="789 26th Street"/>
    <x v="9"/>
    <x v="9"/>
    <n v="99999"/>
    <s v="USA"/>
    <x v="5"/>
    <x v="3"/>
    <d v="2014-05-28T00:00:00"/>
    <x v="2"/>
    <s v="Run Liu"/>
    <s v="789 26th Street"/>
    <x v="9"/>
    <s v="FL"/>
    <n v="99999"/>
    <s v="USA"/>
    <s v="Credit Card"/>
    <x v="8"/>
    <x v="4"/>
    <n v="9.65"/>
    <n v="87"/>
    <x v="106"/>
    <n v="87.313200000000009"/>
  </r>
  <r>
    <n v="1124"/>
    <x v="58"/>
    <n v="26"/>
    <x v="14"/>
    <s v="789 26th Street"/>
    <x v="9"/>
    <x v="9"/>
    <n v="99999"/>
    <s v="USA"/>
    <x v="5"/>
    <x v="3"/>
    <d v="2014-05-28T00:00:00"/>
    <x v="2"/>
    <s v="Run Liu"/>
    <s v="789 26th Street"/>
    <x v="9"/>
    <s v="FL"/>
    <n v="99999"/>
    <s v="USA"/>
    <s v="Credit Card"/>
    <x v="13"/>
    <x v="8"/>
    <n v="18.399999999999999"/>
    <n v="64"/>
    <x v="107"/>
    <n v="115.40479999999999"/>
  </r>
  <r>
    <n v="1125"/>
    <x v="47"/>
    <n v="29"/>
    <x v="4"/>
    <s v="789 29th Street"/>
    <x v="3"/>
    <x v="3"/>
    <n v="99999"/>
    <s v="USA"/>
    <x v="3"/>
    <x v="0"/>
    <d v="2014-05-31T00:00:00"/>
    <x v="0"/>
    <s v="Soo Jung Lee"/>
    <s v="789 29th Street"/>
    <x v="3"/>
    <s v="CO"/>
    <n v="99999"/>
    <s v="USA"/>
    <s v="Check"/>
    <x v="0"/>
    <x v="0"/>
    <n v="14"/>
    <n v="21"/>
    <x v="108"/>
    <n v="30.870000000000005"/>
  </r>
  <r>
    <n v="1126"/>
    <x v="49"/>
    <n v="6"/>
    <x v="6"/>
    <s v="123 6th Street"/>
    <x v="5"/>
    <x v="5"/>
    <n v="99999"/>
    <s v="USA"/>
    <x v="4"/>
    <x v="2"/>
    <d v="2014-05-08T00:00:00"/>
    <x v="2"/>
    <s v="Francisco Pérez-Olaeta"/>
    <s v="123 6th Street"/>
    <x v="5"/>
    <s v="WI"/>
    <n v="99999"/>
    <s v="USA"/>
    <s v="Check"/>
    <x v="7"/>
    <x v="3"/>
    <n v="12.75"/>
    <n v="19"/>
    <x v="109"/>
    <n v="24.46725"/>
  </r>
  <r>
    <n v="1128"/>
    <x v="59"/>
    <n v="4"/>
    <x v="1"/>
    <s v="123 4th Street"/>
    <x v="1"/>
    <x v="1"/>
    <n v="99999"/>
    <s v="USA"/>
    <x v="1"/>
    <x v="1"/>
    <d v="2014-05-06T00:00:00"/>
    <x v="1"/>
    <s v="Christina Lee"/>
    <s v="123 4th Street"/>
    <x v="1"/>
    <s v="NY"/>
    <n v="99999"/>
    <s v="USA"/>
    <s v="Credit Card"/>
    <x v="23"/>
    <x v="6"/>
    <n v="81"/>
    <n v="23"/>
    <x v="110"/>
    <n v="195.61500000000001"/>
  </r>
  <r>
    <n v="1129"/>
    <x v="59"/>
    <n v="4"/>
    <x v="1"/>
    <s v="123 4th Street"/>
    <x v="1"/>
    <x v="1"/>
    <n v="99999"/>
    <s v="USA"/>
    <x v="1"/>
    <x v="1"/>
    <d v="2014-05-06T00:00:00"/>
    <x v="1"/>
    <s v="Christina Lee"/>
    <s v="123 4th Street"/>
    <x v="1"/>
    <s v="NY"/>
    <n v="99999"/>
    <s v="USA"/>
    <s v="Credit Card"/>
    <x v="24"/>
    <x v="14"/>
    <n v="7"/>
    <n v="72"/>
    <x v="111"/>
    <n v="51.912000000000006"/>
  </r>
  <r>
    <n v="1131"/>
    <x v="51"/>
    <n v="8"/>
    <x v="3"/>
    <s v="123 8th Street"/>
    <x v="2"/>
    <x v="2"/>
    <n v="99999"/>
    <s v="USA"/>
    <x v="2"/>
    <x v="2"/>
    <d v="2014-05-10T00:00:00"/>
    <x v="2"/>
    <s v="Elizabeth Andersen"/>
    <s v="123 8th Street"/>
    <x v="2"/>
    <s v="OR"/>
    <n v="99999"/>
    <s v="USA"/>
    <s v="Credit Card"/>
    <x v="15"/>
    <x v="10"/>
    <n v="34.799999999999997"/>
    <n v="22"/>
    <x v="112"/>
    <n v="75.02879999999999"/>
  </r>
  <r>
    <n v="1134"/>
    <x v="48"/>
    <n v="3"/>
    <x v="5"/>
    <s v="123 3rd Street"/>
    <x v="4"/>
    <x v="4"/>
    <n v="99999"/>
    <s v="USA"/>
    <x v="0"/>
    <x v="0"/>
    <d v="2014-05-05T00:00:00"/>
    <x v="0"/>
    <s v="Thomas Axerr"/>
    <s v="123 3rd Street"/>
    <x v="4"/>
    <s v="CA"/>
    <n v="99999"/>
    <s v="USA"/>
    <s v="Cash"/>
    <x v="16"/>
    <x v="7"/>
    <n v="10"/>
    <n v="82"/>
    <x v="113"/>
    <n v="85.28"/>
  </r>
  <r>
    <n v="1135"/>
    <x v="48"/>
    <n v="3"/>
    <x v="5"/>
    <s v="123 3rd Street"/>
    <x v="4"/>
    <x v="4"/>
    <n v="99999"/>
    <s v="USA"/>
    <x v="0"/>
    <x v="0"/>
    <d v="2014-05-05T00:00:00"/>
    <x v="0"/>
    <s v="Thomas Axerr"/>
    <s v="123 3rd Street"/>
    <x v="4"/>
    <s v="CA"/>
    <n v="99999"/>
    <s v="USA"/>
    <s v="Cash"/>
    <x v="9"/>
    <x v="5"/>
    <n v="40"/>
    <n v="98"/>
    <x v="114"/>
    <n v="411.6"/>
  </r>
  <r>
    <n v="1138"/>
    <x v="60"/>
    <n v="7"/>
    <x v="9"/>
    <s v="123 7th Street"/>
    <x v="8"/>
    <x v="8"/>
    <n v="99999"/>
    <s v="USA"/>
    <x v="2"/>
    <x v="2"/>
    <m/>
    <x v="3"/>
    <s v="Ming-Yang Xie"/>
    <s v="123 7th Street"/>
    <x v="8"/>
    <s v="ID"/>
    <n v="99999"/>
    <s v="USA"/>
    <m/>
    <x v="5"/>
    <x v="0"/>
    <n v="46"/>
    <n v="71"/>
    <x v="115"/>
    <n v="310.27"/>
  </r>
  <r>
    <n v="1139"/>
    <x v="61"/>
    <n v="10"/>
    <x v="8"/>
    <s v="123 10th Street"/>
    <x v="7"/>
    <x v="7"/>
    <n v="99999"/>
    <s v="USA"/>
    <x v="6"/>
    <x v="1"/>
    <d v="2014-06-12T00:00:00"/>
    <x v="1"/>
    <s v="Roland Wacker"/>
    <s v="123 10th Street"/>
    <x v="7"/>
    <s v="IL"/>
    <n v="99999"/>
    <s v="USA"/>
    <m/>
    <x v="11"/>
    <x v="6"/>
    <n v="25"/>
    <n v="40"/>
    <x v="116"/>
    <n v="105"/>
  </r>
  <r>
    <n v="1140"/>
    <x v="61"/>
    <n v="10"/>
    <x v="8"/>
    <s v="123 10th Street"/>
    <x v="7"/>
    <x v="7"/>
    <n v="99999"/>
    <s v="USA"/>
    <x v="6"/>
    <x v="1"/>
    <d v="2014-06-12T00:00:00"/>
    <x v="1"/>
    <s v="Roland Wacker"/>
    <s v="123 10th Street"/>
    <x v="7"/>
    <s v="IL"/>
    <n v="99999"/>
    <s v="USA"/>
    <m/>
    <x v="12"/>
    <x v="7"/>
    <n v="22"/>
    <n v="80"/>
    <x v="117"/>
    <n v="172.48"/>
  </r>
  <r>
    <n v="1141"/>
    <x v="61"/>
    <n v="10"/>
    <x v="8"/>
    <s v="123 10th Street"/>
    <x v="7"/>
    <x v="7"/>
    <n v="99999"/>
    <s v="USA"/>
    <x v="6"/>
    <x v="1"/>
    <d v="2014-06-12T00:00:00"/>
    <x v="1"/>
    <s v="Roland Wacker"/>
    <s v="123 10th Street"/>
    <x v="7"/>
    <s v="IL"/>
    <n v="99999"/>
    <s v="USA"/>
    <m/>
    <x v="6"/>
    <x v="2"/>
    <n v="9.1999999999999993"/>
    <n v="38"/>
    <x v="7"/>
    <n v="33.211999999999996"/>
  </r>
  <r>
    <n v="1142"/>
    <x v="62"/>
    <n v="11"/>
    <x v="10"/>
    <s v="123 11th Street"/>
    <x v="9"/>
    <x v="9"/>
    <n v="99999"/>
    <s v="USA"/>
    <x v="5"/>
    <x v="3"/>
    <m/>
    <x v="2"/>
    <s v="Peter Krschne"/>
    <s v="123 11th Street"/>
    <x v="9"/>
    <s v="FL"/>
    <n v="99999"/>
    <s v="USA"/>
    <m/>
    <x v="1"/>
    <x v="1"/>
    <n v="3.5"/>
    <n v="28"/>
    <x v="118"/>
    <n v="10.290000000000001"/>
  </r>
  <r>
    <n v="1143"/>
    <x v="62"/>
    <n v="11"/>
    <x v="10"/>
    <s v="123 11th Street"/>
    <x v="9"/>
    <x v="9"/>
    <n v="99999"/>
    <s v="USA"/>
    <x v="5"/>
    <x v="3"/>
    <m/>
    <x v="2"/>
    <s v="Peter Krschne"/>
    <s v="123 11th Street"/>
    <x v="9"/>
    <s v="FL"/>
    <n v="99999"/>
    <s v="USA"/>
    <m/>
    <x v="10"/>
    <x v="0"/>
    <n v="2.99"/>
    <n v="60"/>
    <x v="119"/>
    <n v="17.581200000000003"/>
  </r>
  <r>
    <n v="1144"/>
    <x v="63"/>
    <n v="1"/>
    <x v="11"/>
    <s v="123 1st Street"/>
    <x v="10"/>
    <x v="10"/>
    <n v="99999"/>
    <s v="USA"/>
    <x v="2"/>
    <x v="2"/>
    <m/>
    <x v="3"/>
    <s v="Anna Bedecs"/>
    <s v="123 1st Street"/>
    <x v="10"/>
    <s v="WA"/>
    <n v="99999"/>
    <s v="USA"/>
    <m/>
    <x v="4"/>
    <x v="0"/>
    <n v="18"/>
    <n v="33"/>
    <x v="120"/>
    <n v="58.212000000000003"/>
  </r>
  <r>
    <n v="1145"/>
    <x v="63"/>
    <n v="1"/>
    <x v="11"/>
    <s v="123 1st Street"/>
    <x v="10"/>
    <x v="10"/>
    <n v="99999"/>
    <s v="USA"/>
    <x v="2"/>
    <x v="2"/>
    <m/>
    <x v="3"/>
    <s v="Anna Bedecs"/>
    <s v="123 1st Street"/>
    <x v="10"/>
    <s v="WA"/>
    <n v="99999"/>
    <s v="USA"/>
    <m/>
    <x v="5"/>
    <x v="0"/>
    <n v="46"/>
    <n v="22"/>
    <x v="121"/>
    <n v="101.2"/>
  </r>
  <r>
    <n v="1146"/>
    <x v="63"/>
    <n v="1"/>
    <x v="11"/>
    <s v="123 1st Street"/>
    <x v="10"/>
    <x v="10"/>
    <n v="99999"/>
    <s v="USA"/>
    <x v="2"/>
    <x v="2"/>
    <m/>
    <x v="3"/>
    <s v="Anna Bedecs"/>
    <s v="123 1st Street"/>
    <x v="10"/>
    <s v="WA"/>
    <n v="99999"/>
    <s v="USA"/>
    <m/>
    <x v="10"/>
    <x v="0"/>
    <n v="2.99"/>
    <n v="51"/>
    <x v="122"/>
    <n v="14.944020000000002"/>
  </r>
  <r>
    <n v="1147"/>
    <x v="64"/>
    <n v="28"/>
    <x v="7"/>
    <s v="789 28th Street"/>
    <x v="6"/>
    <x v="6"/>
    <n v="99999"/>
    <s v="USA"/>
    <x v="5"/>
    <x v="3"/>
    <d v="2014-06-30T00:00:00"/>
    <x v="2"/>
    <s v="Amritansh Raghav"/>
    <s v="789 28th Street"/>
    <x v="6"/>
    <s v="TN"/>
    <n v="99999"/>
    <s v="USA"/>
    <s v="Credit Card"/>
    <x v="8"/>
    <x v="4"/>
    <n v="9.65"/>
    <n v="60"/>
    <x v="123"/>
    <n v="57.321000000000005"/>
  </r>
  <r>
    <n v="1148"/>
    <x v="64"/>
    <n v="28"/>
    <x v="7"/>
    <s v="789 28th Street"/>
    <x v="6"/>
    <x v="6"/>
    <n v="99999"/>
    <s v="USA"/>
    <x v="5"/>
    <x v="3"/>
    <d v="2014-06-30T00:00:00"/>
    <x v="2"/>
    <s v="Amritansh Raghav"/>
    <s v="789 28th Street"/>
    <x v="6"/>
    <s v="TN"/>
    <n v="99999"/>
    <s v="USA"/>
    <s v="Credit Card"/>
    <x v="13"/>
    <x v="8"/>
    <n v="18.399999999999999"/>
    <n v="98"/>
    <x v="124"/>
    <n v="183.9264"/>
  </r>
  <r>
    <n v="1149"/>
    <x v="65"/>
    <n v="9"/>
    <x v="12"/>
    <s v="123 9th Street"/>
    <x v="11"/>
    <x v="11"/>
    <n v="99999"/>
    <s v="USA"/>
    <x v="7"/>
    <x v="0"/>
    <d v="2014-06-11T00:00:00"/>
    <x v="1"/>
    <s v="Sven Mortensen"/>
    <s v="123 9th Street"/>
    <x v="11"/>
    <s v="UT"/>
    <n v="99999"/>
    <s v="USA"/>
    <s v="Check"/>
    <x v="14"/>
    <x v="9"/>
    <n v="19.5"/>
    <n v="27"/>
    <x v="125"/>
    <n v="51.070500000000003"/>
  </r>
  <r>
    <n v="1150"/>
    <x v="65"/>
    <n v="9"/>
    <x v="12"/>
    <s v="123 9th Street"/>
    <x v="11"/>
    <x v="11"/>
    <n v="99999"/>
    <s v="USA"/>
    <x v="7"/>
    <x v="0"/>
    <d v="2014-06-11T00:00:00"/>
    <x v="1"/>
    <s v="Sven Mortensen"/>
    <s v="123 9th Street"/>
    <x v="11"/>
    <s v="UT"/>
    <n v="99999"/>
    <s v="USA"/>
    <s v="Check"/>
    <x v="15"/>
    <x v="10"/>
    <n v="34.799999999999997"/>
    <n v="88"/>
    <x v="126"/>
    <n v="303.17759999999993"/>
  </r>
  <r>
    <n v="1151"/>
    <x v="66"/>
    <n v="6"/>
    <x v="6"/>
    <s v="123 6th Street"/>
    <x v="5"/>
    <x v="5"/>
    <n v="99999"/>
    <s v="USA"/>
    <x v="4"/>
    <x v="2"/>
    <d v="2014-06-08T00:00:00"/>
    <x v="0"/>
    <s v="Francisco Pérez-Olaeta"/>
    <s v="123 6th Street"/>
    <x v="5"/>
    <s v="WI"/>
    <n v="99999"/>
    <s v="USA"/>
    <s v="Credit Card"/>
    <x v="0"/>
    <x v="0"/>
    <n v="14"/>
    <n v="65"/>
    <x v="127"/>
    <n v="95.55"/>
  </r>
  <r>
    <n v="1152"/>
    <x v="67"/>
    <n v="8"/>
    <x v="3"/>
    <s v="123 8th Street"/>
    <x v="2"/>
    <x v="2"/>
    <n v="99999"/>
    <s v="USA"/>
    <x v="2"/>
    <x v="2"/>
    <d v="2014-06-10T00:00:00"/>
    <x v="0"/>
    <s v="Elizabeth Andersen"/>
    <s v="123 8th Street"/>
    <x v="2"/>
    <s v="OR"/>
    <n v="99999"/>
    <s v="USA"/>
    <s v="Check"/>
    <x v="9"/>
    <x v="5"/>
    <n v="40"/>
    <n v="38"/>
    <x v="128"/>
    <n v="148.96"/>
  </r>
  <r>
    <n v="1153"/>
    <x v="67"/>
    <n v="8"/>
    <x v="3"/>
    <s v="123 8th Street"/>
    <x v="2"/>
    <x v="2"/>
    <n v="99999"/>
    <s v="USA"/>
    <x v="2"/>
    <x v="2"/>
    <n v="41800"/>
    <x v="0"/>
    <s v="Elizabeth Andersen"/>
    <s v="123 8th Street"/>
    <x v="2"/>
    <s v="OR"/>
    <n v="99999"/>
    <s v="USA"/>
    <s v="Check"/>
    <x v="6"/>
    <x v="2"/>
    <n v="9.1999999999999993"/>
    <n v="80"/>
    <x v="129"/>
    <n v="70.656000000000006"/>
  </r>
  <r>
    <n v="1154"/>
    <x v="68"/>
    <n v="25"/>
    <x v="13"/>
    <s v="789 25th Street"/>
    <x v="7"/>
    <x v="7"/>
    <n v="99999"/>
    <s v="USA"/>
    <x v="6"/>
    <x v="1"/>
    <d v="2014-06-27T00:00:00"/>
    <x v="1"/>
    <s v="John Rodman"/>
    <s v="789 25th Street"/>
    <x v="7"/>
    <s v="IL"/>
    <n v="99999"/>
    <s v="USA"/>
    <s v="Cash"/>
    <x v="21"/>
    <x v="2"/>
    <n v="10"/>
    <n v="49"/>
    <x v="130"/>
    <n v="47.04"/>
  </r>
  <r>
    <n v="1155"/>
    <x v="69"/>
    <n v="26"/>
    <x v="14"/>
    <s v="789 26th Street"/>
    <x v="9"/>
    <x v="9"/>
    <n v="99999"/>
    <s v="USA"/>
    <x v="5"/>
    <x v="3"/>
    <d v="2014-06-28T00:00:00"/>
    <x v="2"/>
    <s v="Run Liu"/>
    <s v="789 26th Street"/>
    <x v="9"/>
    <s v="FL"/>
    <n v="99999"/>
    <s v="USA"/>
    <s v="Credit Card"/>
    <x v="22"/>
    <x v="13"/>
    <n v="21.35"/>
    <n v="90"/>
    <x v="131"/>
    <n v="186.38550000000004"/>
  </r>
  <r>
    <n v="1156"/>
    <x v="69"/>
    <n v="26"/>
    <x v="14"/>
    <s v="789 26th Street"/>
    <x v="9"/>
    <x v="9"/>
    <n v="99999"/>
    <s v="USA"/>
    <x v="5"/>
    <x v="3"/>
    <d v="2014-06-28T00:00:00"/>
    <x v="2"/>
    <s v="Run Liu"/>
    <s v="789 26th Street"/>
    <x v="9"/>
    <s v="FL"/>
    <n v="99999"/>
    <s v="USA"/>
    <s v="Credit Card"/>
    <x v="8"/>
    <x v="4"/>
    <n v="9.65"/>
    <n v="60"/>
    <x v="123"/>
    <n v="59.637000000000008"/>
  </r>
  <r>
    <n v="1157"/>
    <x v="69"/>
    <n v="26"/>
    <x v="14"/>
    <s v="789 26th Street"/>
    <x v="9"/>
    <x v="9"/>
    <n v="99999"/>
    <s v="USA"/>
    <x v="5"/>
    <x v="3"/>
    <n v="41818"/>
    <x v="2"/>
    <s v="Run Liu"/>
    <s v="789 26th Street"/>
    <x v="9"/>
    <s v="FL"/>
    <n v="99999"/>
    <s v="USA"/>
    <s v="Credit Card"/>
    <x v="13"/>
    <x v="8"/>
    <n v="18.399999999999999"/>
    <n v="39"/>
    <x v="132"/>
    <n v="71.759999999999991"/>
  </r>
  <r>
    <n v="1158"/>
    <x v="70"/>
    <n v="29"/>
    <x v="4"/>
    <s v="789 29th Street"/>
    <x v="3"/>
    <x v="3"/>
    <n v="99999"/>
    <s v="USA"/>
    <x v="3"/>
    <x v="0"/>
    <n v="41821"/>
    <x v="0"/>
    <s v="Soo Jung Lee"/>
    <s v="789 29th Street"/>
    <x v="3"/>
    <s v="CO"/>
    <n v="99999"/>
    <s v="USA"/>
    <s v="Check"/>
    <x v="0"/>
    <x v="0"/>
    <n v="14"/>
    <n v="79"/>
    <x v="133"/>
    <n v="113.91800000000001"/>
  </r>
  <r>
    <n v="1159"/>
    <x v="66"/>
    <n v="6"/>
    <x v="6"/>
    <s v="123 6th Street"/>
    <x v="5"/>
    <x v="5"/>
    <n v="99999"/>
    <s v="USA"/>
    <x v="4"/>
    <x v="2"/>
    <n v="41798"/>
    <x v="2"/>
    <s v="Francisco Pérez-Olaeta"/>
    <s v="123 6th Street"/>
    <x v="5"/>
    <s v="WI"/>
    <n v="99999"/>
    <s v="USA"/>
    <s v="Check"/>
    <x v="7"/>
    <x v="3"/>
    <n v="12.75"/>
    <n v="44"/>
    <x v="134"/>
    <n v="57.222000000000001"/>
  </r>
  <r>
    <n v="1161"/>
    <x v="71"/>
    <n v="4"/>
    <x v="1"/>
    <s v="123 4th Street"/>
    <x v="1"/>
    <x v="1"/>
    <n v="99999"/>
    <s v="USA"/>
    <x v="1"/>
    <x v="1"/>
    <n v="41796"/>
    <x v="1"/>
    <s v="Christina Lee"/>
    <s v="123 4th Street"/>
    <x v="1"/>
    <s v="NY"/>
    <n v="99999"/>
    <s v="USA"/>
    <s v="Credit Card"/>
    <x v="23"/>
    <x v="6"/>
    <n v="81"/>
    <n v="98"/>
    <x v="135"/>
    <n v="769.98599999999999"/>
  </r>
  <r>
    <n v="1162"/>
    <x v="71"/>
    <n v="4"/>
    <x v="1"/>
    <s v="123 4th Street"/>
    <x v="1"/>
    <x v="1"/>
    <n v="99999"/>
    <s v="USA"/>
    <x v="1"/>
    <x v="1"/>
    <n v="41796"/>
    <x v="1"/>
    <s v="Christina Lee"/>
    <s v="123 4th Street"/>
    <x v="1"/>
    <s v="NY"/>
    <n v="99999"/>
    <s v="USA"/>
    <s v="Credit Card"/>
    <x v="24"/>
    <x v="14"/>
    <n v="7"/>
    <n v="61"/>
    <x v="136"/>
    <n v="42.273000000000003"/>
  </r>
  <r>
    <n v="1164"/>
    <x v="67"/>
    <n v="8"/>
    <x v="3"/>
    <s v="123 8th Street"/>
    <x v="2"/>
    <x v="2"/>
    <n v="99999"/>
    <s v="USA"/>
    <x v="2"/>
    <x v="2"/>
    <d v="2014-06-10T00:00:00"/>
    <x v="2"/>
    <s v="Elizabeth Andersen"/>
    <s v="123 8th Street"/>
    <x v="2"/>
    <s v="OR"/>
    <n v="99999"/>
    <s v="USA"/>
    <s v="Credit Card"/>
    <x v="15"/>
    <x v="10"/>
    <n v="34.799999999999997"/>
    <n v="30"/>
    <x v="137"/>
    <n v="109.62"/>
  </r>
  <r>
    <n v="1167"/>
    <x v="72"/>
    <n v="3"/>
    <x v="5"/>
    <s v="123 3rd Street"/>
    <x v="4"/>
    <x v="4"/>
    <n v="99999"/>
    <s v="USA"/>
    <x v="0"/>
    <x v="0"/>
    <d v="2014-06-05T00:00:00"/>
    <x v="0"/>
    <s v="Thomas Axerr"/>
    <s v="123 3rd Street"/>
    <x v="4"/>
    <s v="CA"/>
    <n v="99999"/>
    <s v="USA"/>
    <s v="Cash"/>
    <x v="16"/>
    <x v="7"/>
    <n v="10"/>
    <n v="24"/>
    <x v="138"/>
    <n v="25.200000000000003"/>
  </r>
  <r>
    <n v="1168"/>
    <x v="72"/>
    <n v="3"/>
    <x v="5"/>
    <s v="123 3rd Street"/>
    <x v="4"/>
    <x v="4"/>
    <n v="99999"/>
    <s v="USA"/>
    <x v="0"/>
    <x v="0"/>
    <d v="2014-06-05T00:00:00"/>
    <x v="0"/>
    <s v="Thomas Axerr"/>
    <s v="123 3rd Street"/>
    <x v="4"/>
    <s v="CA"/>
    <n v="99999"/>
    <s v="USA"/>
    <s v="Cash"/>
    <x v="9"/>
    <x v="5"/>
    <n v="40"/>
    <n v="28"/>
    <x v="139"/>
    <n v="109.75999999999999"/>
  </r>
  <r>
    <n v="1172"/>
    <x v="61"/>
    <n v="10"/>
    <x v="8"/>
    <s v="123 10th Street"/>
    <x v="7"/>
    <x v="7"/>
    <n v="99999"/>
    <s v="USA"/>
    <x v="6"/>
    <x v="1"/>
    <d v="2014-06-12T00:00:00"/>
    <x v="0"/>
    <s v="Roland Wacker"/>
    <s v="123 10th Street"/>
    <x v="7"/>
    <s v="IL"/>
    <n v="99999"/>
    <s v="USA"/>
    <s v="Credit Card"/>
    <x v="18"/>
    <x v="1"/>
    <n v="10"/>
    <n v="74"/>
    <x v="140"/>
    <n v="71.78"/>
  </r>
  <r>
    <n v="1174"/>
    <x v="61"/>
    <n v="10"/>
    <x v="8"/>
    <s v="123 10th Street"/>
    <x v="7"/>
    <x v="7"/>
    <n v="99999"/>
    <s v="USA"/>
    <x v="6"/>
    <x v="1"/>
    <m/>
    <x v="1"/>
    <s v="Roland Wacker"/>
    <s v="123 10th Street"/>
    <x v="7"/>
    <s v="IL"/>
    <n v="99999"/>
    <s v="USA"/>
    <m/>
    <x v="1"/>
    <x v="1"/>
    <n v="3.5"/>
    <n v="90"/>
    <x v="141"/>
    <n v="30.24"/>
  </r>
  <r>
    <n v="1175"/>
    <x v="62"/>
    <n v="11"/>
    <x v="10"/>
    <s v="123 11th Street"/>
    <x v="9"/>
    <x v="9"/>
    <n v="99999"/>
    <s v="USA"/>
    <x v="5"/>
    <x v="3"/>
    <m/>
    <x v="2"/>
    <s v="Peter Krschne"/>
    <s v="123 11th Street"/>
    <x v="9"/>
    <s v="FL"/>
    <n v="99999"/>
    <s v="USA"/>
    <m/>
    <x v="9"/>
    <x v="5"/>
    <n v="40"/>
    <n v="27"/>
    <x v="142"/>
    <n v="111.24000000000001"/>
  </r>
  <r>
    <n v="1176"/>
    <x v="63"/>
    <n v="1"/>
    <x v="11"/>
    <s v="123 1st Street"/>
    <x v="10"/>
    <x v="10"/>
    <n v="99999"/>
    <s v="USA"/>
    <x v="2"/>
    <x v="2"/>
    <m/>
    <x v="2"/>
    <s v="Anna Bedecs"/>
    <s v="123 1st Street"/>
    <x v="10"/>
    <s v="WA"/>
    <n v="99999"/>
    <s v="USA"/>
    <m/>
    <x v="13"/>
    <x v="8"/>
    <n v="18.399999999999999"/>
    <n v="71"/>
    <x v="143"/>
    <n v="137.172"/>
  </r>
  <r>
    <n v="1177"/>
    <x v="64"/>
    <n v="28"/>
    <x v="7"/>
    <s v="789 28th Street"/>
    <x v="6"/>
    <x v="6"/>
    <n v="99999"/>
    <s v="USA"/>
    <x v="5"/>
    <x v="3"/>
    <d v="2014-06-30T00:00:00"/>
    <x v="2"/>
    <s v="Amritansh Raghav"/>
    <s v="789 28th Street"/>
    <x v="6"/>
    <s v="TN"/>
    <n v="99999"/>
    <s v="USA"/>
    <s v="Credit Card"/>
    <x v="5"/>
    <x v="0"/>
    <n v="46"/>
    <n v="74"/>
    <x v="144"/>
    <n v="340.40000000000003"/>
  </r>
  <r>
    <n v="1178"/>
    <x v="65"/>
    <n v="9"/>
    <x v="12"/>
    <s v="123 9th Street"/>
    <x v="11"/>
    <x v="11"/>
    <n v="99999"/>
    <s v="USA"/>
    <x v="7"/>
    <x v="0"/>
    <d v="2014-06-11T00:00:00"/>
    <x v="1"/>
    <s v="Sven Mortensen"/>
    <s v="123 9th Street"/>
    <x v="11"/>
    <s v="UT"/>
    <n v="99999"/>
    <s v="USA"/>
    <s v="Check"/>
    <x v="8"/>
    <x v="4"/>
    <n v="9.65"/>
    <n v="76"/>
    <x v="145"/>
    <n v="72.6066"/>
  </r>
  <r>
    <n v="1179"/>
    <x v="66"/>
    <n v="6"/>
    <x v="6"/>
    <s v="123 6th Street"/>
    <x v="5"/>
    <x v="5"/>
    <n v="99999"/>
    <s v="USA"/>
    <x v="4"/>
    <x v="2"/>
    <d v="2014-06-08T00:00:00"/>
    <x v="0"/>
    <s v="Francisco Pérez-Olaeta"/>
    <s v="123 6th Street"/>
    <x v="5"/>
    <s v="WI"/>
    <n v="99999"/>
    <s v="USA"/>
    <s v="Credit Card"/>
    <x v="7"/>
    <x v="3"/>
    <n v="12.75"/>
    <n v="96"/>
    <x v="146"/>
    <n v="123.62400000000001"/>
  </r>
  <r>
    <n v="1180"/>
    <x v="67"/>
    <n v="8"/>
    <x v="3"/>
    <s v="123 8th Street"/>
    <x v="2"/>
    <x v="2"/>
    <n v="99999"/>
    <s v="USA"/>
    <x v="2"/>
    <x v="2"/>
    <d v="2014-06-10T00:00:00"/>
    <x v="0"/>
    <s v="Elizabeth Andersen"/>
    <s v="123 8th Street"/>
    <x v="2"/>
    <s v="OR"/>
    <n v="99999"/>
    <s v="USA"/>
    <s v="Check"/>
    <x v="7"/>
    <x v="3"/>
    <n v="12.75"/>
    <n v="92"/>
    <x v="147"/>
    <n v="116.12700000000001"/>
  </r>
  <r>
    <n v="1181"/>
    <x v="68"/>
    <n v="25"/>
    <x v="13"/>
    <s v="789 25th Street"/>
    <x v="7"/>
    <x v="7"/>
    <n v="99999"/>
    <s v="USA"/>
    <x v="6"/>
    <x v="1"/>
    <d v="2014-06-27T00:00:00"/>
    <x v="1"/>
    <s v="John Rodman"/>
    <s v="789 25th Street"/>
    <x v="7"/>
    <s v="IL"/>
    <n v="99999"/>
    <s v="USA"/>
    <s v="Cash"/>
    <x v="12"/>
    <x v="7"/>
    <n v="22"/>
    <n v="93"/>
    <x v="148"/>
    <n v="200.50800000000001"/>
  </r>
  <r>
    <n v="1182"/>
    <x v="69"/>
    <n v="26"/>
    <x v="14"/>
    <s v="789 26th Street"/>
    <x v="9"/>
    <x v="9"/>
    <n v="99999"/>
    <s v="USA"/>
    <x v="5"/>
    <x v="3"/>
    <d v="2014-06-28T00:00:00"/>
    <x v="2"/>
    <s v="Run Liu"/>
    <s v="789 26th Street"/>
    <x v="9"/>
    <s v="FL"/>
    <n v="99999"/>
    <s v="USA"/>
    <s v="Credit Card"/>
    <x v="11"/>
    <x v="6"/>
    <n v="25"/>
    <n v="18"/>
    <x v="149"/>
    <n v="42.75"/>
  </r>
  <r>
    <n v="1183"/>
    <x v="70"/>
    <n v="29"/>
    <x v="4"/>
    <s v="789 29th Street"/>
    <x v="3"/>
    <x v="3"/>
    <n v="99999"/>
    <s v="USA"/>
    <x v="3"/>
    <x v="0"/>
    <d v="2014-07-01T00:00:00"/>
    <x v="0"/>
    <s v="Soo Jung Lee"/>
    <s v="789 29th Street"/>
    <x v="3"/>
    <s v="CO"/>
    <n v="99999"/>
    <s v="USA"/>
    <s v="Check"/>
    <x v="19"/>
    <x v="12"/>
    <n v="39"/>
    <n v="98"/>
    <x v="150"/>
    <n v="397.48800000000006"/>
  </r>
  <r>
    <n v="1184"/>
    <x v="66"/>
    <n v="6"/>
    <x v="6"/>
    <s v="123 6th Street"/>
    <x v="5"/>
    <x v="5"/>
    <n v="99999"/>
    <s v="USA"/>
    <x v="4"/>
    <x v="2"/>
    <d v="2014-06-08T00:00:00"/>
    <x v="2"/>
    <s v="Francisco Pérez-Olaeta"/>
    <s v="123 6th Street"/>
    <x v="5"/>
    <s v="WI"/>
    <n v="99999"/>
    <s v="USA"/>
    <s v="Check"/>
    <x v="2"/>
    <x v="1"/>
    <n v="30"/>
    <n v="46"/>
    <x v="65"/>
    <n v="135.24"/>
  </r>
  <r>
    <n v="1185"/>
    <x v="66"/>
    <n v="6"/>
    <x v="6"/>
    <s v="123 6th Street"/>
    <x v="5"/>
    <x v="5"/>
    <n v="99999"/>
    <s v="USA"/>
    <x v="4"/>
    <x v="2"/>
    <d v="2014-06-08T00:00:00"/>
    <x v="2"/>
    <s v="Francisco Pérez-Olaeta"/>
    <s v="123 6th Street"/>
    <x v="5"/>
    <s v="WI"/>
    <n v="99999"/>
    <s v="USA"/>
    <s v="Check"/>
    <x v="3"/>
    <x v="1"/>
    <n v="53"/>
    <n v="14"/>
    <x v="48"/>
    <n v="74.2"/>
  </r>
  <r>
    <n v="1186"/>
    <x v="71"/>
    <n v="4"/>
    <x v="1"/>
    <s v="123 4th Street"/>
    <x v="1"/>
    <x v="1"/>
    <n v="99999"/>
    <s v="USA"/>
    <x v="1"/>
    <x v="1"/>
    <m/>
    <x v="3"/>
    <s v="Christina Lee"/>
    <s v="123 4th Street"/>
    <x v="1"/>
    <s v="NY"/>
    <n v="99999"/>
    <s v="USA"/>
    <m/>
    <x v="20"/>
    <x v="9"/>
    <n v="38"/>
    <n v="85"/>
    <x v="151"/>
    <n v="319.77"/>
  </r>
  <r>
    <n v="1187"/>
    <x v="72"/>
    <n v="3"/>
    <x v="5"/>
    <s v="123 3rd Street"/>
    <x v="4"/>
    <x v="4"/>
    <n v="99999"/>
    <s v="USA"/>
    <x v="0"/>
    <x v="0"/>
    <m/>
    <x v="3"/>
    <s v="Thomas Axerr"/>
    <s v="123 3rd Street"/>
    <x v="4"/>
    <s v="CA"/>
    <n v="99999"/>
    <s v="USA"/>
    <m/>
    <x v="10"/>
    <x v="0"/>
    <n v="2.99"/>
    <n v="88"/>
    <x v="76"/>
    <n v="25.522639999999999"/>
  </r>
  <r>
    <n v="1188"/>
    <x v="73"/>
    <n v="1"/>
    <x v="11"/>
    <s v="123 1st Street"/>
    <x v="10"/>
    <x v="10"/>
    <n v="99999"/>
    <s v="USA"/>
    <x v="2"/>
    <x v="2"/>
    <m/>
    <x v="3"/>
    <s v="Anna Bedecs"/>
    <s v="123 1st Street"/>
    <x v="10"/>
    <s v="WA"/>
    <n v="99999"/>
    <s v="USA"/>
    <m/>
    <x v="10"/>
    <x v="0"/>
    <n v="2.99"/>
    <n v="81"/>
    <x v="152"/>
    <n v="23.976810000000004"/>
  </r>
  <r>
    <n v="1189"/>
    <x v="74"/>
    <n v="28"/>
    <x v="7"/>
    <s v="789 28th Street"/>
    <x v="6"/>
    <x v="6"/>
    <n v="99999"/>
    <s v="USA"/>
    <x v="5"/>
    <x v="3"/>
    <d v="2014-07-30T00:00:00"/>
    <x v="2"/>
    <s v="Amritansh Raghav"/>
    <s v="789 28th Street"/>
    <x v="6"/>
    <s v="TN"/>
    <n v="99999"/>
    <s v="USA"/>
    <s v="Credit Card"/>
    <x v="8"/>
    <x v="4"/>
    <n v="9.65"/>
    <n v="33"/>
    <x v="153"/>
    <n v="30.252749999999999"/>
  </r>
  <r>
    <n v="1190"/>
    <x v="74"/>
    <n v="28"/>
    <x v="7"/>
    <s v="789 28th Street"/>
    <x v="6"/>
    <x v="6"/>
    <n v="99999"/>
    <s v="USA"/>
    <x v="5"/>
    <x v="3"/>
    <d v="2014-07-30T00:00:00"/>
    <x v="2"/>
    <s v="Amritansh Raghav"/>
    <s v="789 28th Street"/>
    <x v="6"/>
    <s v="TN"/>
    <n v="99999"/>
    <s v="USA"/>
    <s v="Credit Card"/>
    <x v="13"/>
    <x v="8"/>
    <n v="18.399999999999999"/>
    <n v="47"/>
    <x v="154"/>
    <n v="90.804000000000002"/>
  </r>
  <r>
    <n v="1191"/>
    <x v="75"/>
    <n v="9"/>
    <x v="12"/>
    <s v="123 9th Street"/>
    <x v="11"/>
    <x v="11"/>
    <n v="99999"/>
    <s v="USA"/>
    <x v="7"/>
    <x v="0"/>
    <d v="2014-07-11T00:00:00"/>
    <x v="1"/>
    <s v="Sven Mortensen"/>
    <s v="123 9th Street"/>
    <x v="11"/>
    <s v="UT"/>
    <n v="99999"/>
    <s v="USA"/>
    <s v="Check"/>
    <x v="14"/>
    <x v="9"/>
    <n v="19.5"/>
    <n v="61"/>
    <x v="155"/>
    <n v="123.70800000000001"/>
  </r>
  <r>
    <n v="1192"/>
    <x v="75"/>
    <n v="9"/>
    <x v="12"/>
    <s v="123 9th Street"/>
    <x v="11"/>
    <x v="11"/>
    <n v="99999"/>
    <s v="USA"/>
    <x v="7"/>
    <x v="0"/>
    <d v="2014-07-11T00:00:00"/>
    <x v="1"/>
    <s v="Sven Mortensen"/>
    <s v="123 9th Street"/>
    <x v="11"/>
    <s v="UT"/>
    <n v="99999"/>
    <s v="USA"/>
    <s v="Check"/>
    <x v="15"/>
    <x v="10"/>
    <n v="34.799999999999997"/>
    <n v="27"/>
    <x v="156"/>
    <n v="95.839199999999991"/>
  </r>
  <r>
    <n v="1193"/>
    <x v="76"/>
    <n v="6"/>
    <x v="6"/>
    <s v="123 6th Street"/>
    <x v="5"/>
    <x v="5"/>
    <n v="99999"/>
    <s v="USA"/>
    <x v="4"/>
    <x v="2"/>
    <d v="2014-07-08T00:00:00"/>
    <x v="0"/>
    <s v="Francisco Pérez-Olaeta"/>
    <s v="123 6th Street"/>
    <x v="5"/>
    <s v="WI"/>
    <n v="99999"/>
    <s v="USA"/>
    <s v="Credit Card"/>
    <x v="0"/>
    <x v="0"/>
    <n v="14"/>
    <n v="84"/>
    <x v="102"/>
    <n v="118.77600000000001"/>
  </r>
  <r>
    <n v="1194"/>
    <x v="77"/>
    <n v="8"/>
    <x v="3"/>
    <s v="123 8th Street"/>
    <x v="2"/>
    <x v="2"/>
    <n v="99999"/>
    <s v="USA"/>
    <x v="2"/>
    <x v="2"/>
    <d v="2014-07-10T00:00:00"/>
    <x v="0"/>
    <s v="Elizabeth Andersen"/>
    <s v="123 8th Street"/>
    <x v="2"/>
    <s v="OR"/>
    <n v="99999"/>
    <s v="USA"/>
    <s v="Check"/>
    <x v="9"/>
    <x v="5"/>
    <n v="40"/>
    <n v="91"/>
    <x v="157"/>
    <n v="360.36"/>
  </r>
  <r>
    <n v="1195"/>
    <x v="77"/>
    <n v="8"/>
    <x v="3"/>
    <s v="123 8th Street"/>
    <x v="2"/>
    <x v="2"/>
    <n v="99999"/>
    <s v="USA"/>
    <x v="2"/>
    <x v="2"/>
    <d v="2014-07-10T00:00:00"/>
    <x v="0"/>
    <s v="Elizabeth Andersen"/>
    <s v="123 8th Street"/>
    <x v="2"/>
    <s v="OR"/>
    <n v="99999"/>
    <s v="USA"/>
    <s v="Check"/>
    <x v="6"/>
    <x v="2"/>
    <n v="9.1999999999999993"/>
    <n v="36"/>
    <x v="158"/>
    <n v="34.444800000000001"/>
  </r>
  <r>
    <n v="1196"/>
    <x v="78"/>
    <n v="25"/>
    <x v="13"/>
    <s v="789 25th Street"/>
    <x v="7"/>
    <x v="7"/>
    <n v="99999"/>
    <s v="USA"/>
    <x v="6"/>
    <x v="1"/>
    <n v="41847"/>
    <x v="1"/>
    <s v="John Rodman"/>
    <s v="789 25th Street"/>
    <x v="7"/>
    <s v="IL"/>
    <n v="99999"/>
    <s v="USA"/>
    <s v="Cash"/>
    <x v="21"/>
    <x v="2"/>
    <n v="10"/>
    <n v="34"/>
    <x v="159"/>
    <n v="34.340000000000003"/>
  </r>
  <r>
    <n v="1197"/>
    <x v="79"/>
    <n v="26"/>
    <x v="14"/>
    <s v="789 26th Street"/>
    <x v="9"/>
    <x v="9"/>
    <n v="99999"/>
    <s v="USA"/>
    <x v="5"/>
    <x v="3"/>
    <n v="41848"/>
    <x v="2"/>
    <s v="Run Liu"/>
    <s v="789 26th Street"/>
    <x v="9"/>
    <s v="FL"/>
    <n v="99999"/>
    <s v="USA"/>
    <s v="Credit Card"/>
    <x v="22"/>
    <x v="13"/>
    <n v="21.35"/>
    <n v="81"/>
    <x v="160"/>
    <n v="178.12305000000003"/>
  </r>
  <r>
    <n v="1198"/>
    <x v="79"/>
    <n v="26"/>
    <x v="14"/>
    <s v="789 26th Street"/>
    <x v="9"/>
    <x v="9"/>
    <n v="99999"/>
    <s v="USA"/>
    <x v="5"/>
    <x v="3"/>
    <n v="41848"/>
    <x v="2"/>
    <s v="Run Liu"/>
    <s v="789 26th Street"/>
    <x v="9"/>
    <s v="FL"/>
    <n v="99999"/>
    <s v="USA"/>
    <s v="Credit Card"/>
    <x v="8"/>
    <x v="4"/>
    <n v="9.65"/>
    <n v="25"/>
    <x v="161"/>
    <n v="23.401250000000001"/>
  </r>
  <r>
    <n v="1199"/>
    <x v="79"/>
    <n v="26"/>
    <x v="14"/>
    <s v="789 26th Street"/>
    <x v="9"/>
    <x v="9"/>
    <n v="99999"/>
    <s v="USA"/>
    <x v="5"/>
    <x v="3"/>
    <n v="41848"/>
    <x v="2"/>
    <s v="Run Liu"/>
    <s v="789 26th Street"/>
    <x v="9"/>
    <s v="FL"/>
    <n v="99999"/>
    <s v="USA"/>
    <s v="Credit Card"/>
    <x v="13"/>
    <x v="8"/>
    <n v="18.399999999999999"/>
    <n v="12"/>
    <x v="162"/>
    <n v="22.08"/>
  </r>
  <r>
    <n v="1200"/>
    <x v="80"/>
    <n v="29"/>
    <x v="4"/>
    <s v="789 29th Street"/>
    <x v="3"/>
    <x v="3"/>
    <n v="99999"/>
    <s v="USA"/>
    <x v="3"/>
    <x v="0"/>
    <d v="2014-07-31T00:00:00"/>
    <x v="0"/>
    <s v="Soo Jung Lee"/>
    <s v="789 29th Street"/>
    <x v="3"/>
    <s v="CO"/>
    <n v="99999"/>
    <s v="USA"/>
    <s v="Check"/>
    <x v="0"/>
    <x v="0"/>
    <n v="14"/>
    <n v="23"/>
    <x v="163"/>
    <n v="30.912000000000003"/>
  </r>
  <r>
    <n v="1201"/>
    <x v="76"/>
    <n v="6"/>
    <x v="6"/>
    <s v="123 6th Street"/>
    <x v="5"/>
    <x v="5"/>
    <n v="99999"/>
    <s v="USA"/>
    <x v="4"/>
    <x v="2"/>
    <d v="2014-07-08T00:00:00"/>
    <x v="2"/>
    <s v="Francisco Pérez-Olaeta"/>
    <s v="123 6th Street"/>
    <x v="5"/>
    <s v="WI"/>
    <n v="99999"/>
    <s v="USA"/>
    <s v="Check"/>
    <x v="7"/>
    <x v="3"/>
    <n v="12.75"/>
    <n v="76"/>
    <x v="164"/>
    <n v="97.869"/>
  </r>
  <r>
    <n v="1203"/>
    <x v="81"/>
    <n v="4"/>
    <x v="1"/>
    <s v="123 4th Street"/>
    <x v="1"/>
    <x v="1"/>
    <n v="99999"/>
    <s v="USA"/>
    <x v="1"/>
    <x v="1"/>
    <d v="2014-07-06T00:00:00"/>
    <x v="1"/>
    <s v="Christina Lee"/>
    <s v="123 4th Street"/>
    <x v="1"/>
    <s v="NY"/>
    <n v="99999"/>
    <s v="USA"/>
    <s v="Credit Card"/>
    <x v="23"/>
    <x v="6"/>
    <n v="81"/>
    <n v="55"/>
    <x v="165"/>
    <n v="445.5"/>
  </r>
  <r>
    <n v="1204"/>
    <x v="81"/>
    <n v="4"/>
    <x v="1"/>
    <s v="123 4th Street"/>
    <x v="1"/>
    <x v="1"/>
    <n v="99999"/>
    <s v="USA"/>
    <x v="1"/>
    <x v="1"/>
    <d v="2014-07-06T00:00:00"/>
    <x v="1"/>
    <s v="Christina Lee"/>
    <s v="123 4th Street"/>
    <x v="1"/>
    <s v="NY"/>
    <n v="99999"/>
    <s v="USA"/>
    <s v="Credit Card"/>
    <x v="24"/>
    <x v="14"/>
    <n v="7"/>
    <n v="19"/>
    <x v="166"/>
    <n v="12.901"/>
  </r>
  <r>
    <n v="1206"/>
    <x v="77"/>
    <n v="8"/>
    <x v="3"/>
    <s v="123 8th Street"/>
    <x v="2"/>
    <x v="2"/>
    <n v="99999"/>
    <s v="USA"/>
    <x v="2"/>
    <x v="2"/>
    <d v="2014-07-10T00:00:00"/>
    <x v="2"/>
    <s v="Elizabeth Andersen"/>
    <s v="123 8th Street"/>
    <x v="2"/>
    <s v="OR"/>
    <n v="99999"/>
    <s v="USA"/>
    <s v="Credit Card"/>
    <x v="15"/>
    <x v="10"/>
    <n v="34.799999999999997"/>
    <n v="27"/>
    <x v="156"/>
    <n v="89.261999999999986"/>
  </r>
  <r>
    <n v="1209"/>
    <x v="82"/>
    <n v="3"/>
    <x v="5"/>
    <s v="123 3rd Street"/>
    <x v="4"/>
    <x v="4"/>
    <n v="99999"/>
    <s v="USA"/>
    <x v="0"/>
    <x v="0"/>
    <d v="2014-07-05T00:00:00"/>
    <x v="0"/>
    <s v="Thomas Axerr"/>
    <s v="123 3rd Street"/>
    <x v="4"/>
    <s v="CA"/>
    <n v="99999"/>
    <s v="USA"/>
    <s v="Cash"/>
    <x v="16"/>
    <x v="7"/>
    <n v="10"/>
    <n v="99"/>
    <x v="82"/>
    <n v="95.039999999999992"/>
  </r>
  <r>
    <n v="1210"/>
    <x v="82"/>
    <n v="3"/>
    <x v="5"/>
    <s v="123 3rd Street"/>
    <x v="4"/>
    <x v="4"/>
    <n v="99999"/>
    <s v="USA"/>
    <x v="0"/>
    <x v="0"/>
    <d v="2014-07-05T00:00:00"/>
    <x v="0"/>
    <s v="Thomas Axerr"/>
    <s v="123 3rd Street"/>
    <x v="4"/>
    <s v="CA"/>
    <n v="99999"/>
    <s v="USA"/>
    <s v="Cash"/>
    <x v="9"/>
    <x v="5"/>
    <n v="40"/>
    <n v="10"/>
    <x v="167"/>
    <n v="40"/>
  </r>
  <r>
    <n v="1214"/>
    <x v="83"/>
    <n v="10"/>
    <x v="8"/>
    <s v="123 10th Street"/>
    <x v="7"/>
    <x v="7"/>
    <n v="99999"/>
    <s v="USA"/>
    <x v="6"/>
    <x v="1"/>
    <d v="2014-07-12T00:00:00"/>
    <x v="0"/>
    <s v="Roland Wacker"/>
    <s v="123 10th Street"/>
    <x v="7"/>
    <s v="IL"/>
    <n v="99999"/>
    <s v="USA"/>
    <s v="Credit Card"/>
    <x v="18"/>
    <x v="1"/>
    <n v="10"/>
    <n v="80"/>
    <x v="168"/>
    <n v="77.599999999999994"/>
  </r>
  <r>
    <n v="1216"/>
    <x v="83"/>
    <n v="10"/>
    <x v="8"/>
    <s v="123 10th Street"/>
    <x v="7"/>
    <x v="7"/>
    <n v="99999"/>
    <s v="USA"/>
    <x v="6"/>
    <x v="1"/>
    <m/>
    <x v="1"/>
    <s v="Roland Wacker"/>
    <s v="123 10th Street"/>
    <x v="7"/>
    <s v="IL"/>
    <n v="99999"/>
    <s v="USA"/>
    <m/>
    <x v="1"/>
    <x v="1"/>
    <n v="3.5"/>
    <n v="27"/>
    <x v="169"/>
    <n v="9.072000000000001"/>
  </r>
  <r>
    <n v="1217"/>
    <x v="84"/>
    <n v="11"/>
    <x v="10"/>
    <s v="123 11th Street"/>
    <x v="9"/>
    <x v="9"/>
    <n v="99999"/>
    <s v="USA"/>
    <x v="5"/>
    <x v="3"/>
    <m/>
    <x v="2"/>
    <s v="Peter Krschne"/>
    <s v="123 11th Street"/>
    <x v="9"/>
    <s v="FL"/>
    <n v="99999"/>
    <s v="USA"/>
    <m/>
    <x v="9"/>
    <x v="5"/>
    <n v="40"/>
    <n v="97"/>
    <x v="170"/>
    <n v="380.24"/>
  </r>
  <r>
    <n v="1218"/>
    <x v="73"/>
    <n v="1"/>
    <x v="11"/>
    <s v="123 1st Street"/>
    <x v="10"/>
    <x v="10"/>
    <n v="99999"/>
    <s v="USA"/>
    <x v="2"/>
    <x v="2"/>
    <m/>
    <x v="2"/>
    <s v="Anna Bedecs"/>
    <s v="123 1st Street"/>
    <x v="10"/>
    <s v="WA"/>
    <n v="99999"/>
    <s v="USA"/>
    <m/>
    <x v="13"/>
    <x v="8"/>
    <n v="18.399999999999999"/>
    <n v="42"/>
    <x v="171"/>
    <n v="80.371200000000002"/>
  </r>
  <r>
    <n v="1219"/>
    <x v="74"/>
    <n v="28"/>
    <x v="7"/>
    <s v="789 28th Street"/>
    <x v="6"/>
    <x v="6"/>
    <n v="99999"/>
    <s v="USA"/>
    <x v="5"/>
    <x v="3"/>
    <n v="41850"/>
    <x v="2"/>
    <s v="Amritansh Raghav"/>
    <s v="789 28th Street"/>
    <x v="6"/>
    <s v="TN"/>
    <n v="99999"/>
    <s v="USA"/>
    <s v="Credit Card"/>
    <x v="5"/>
    <x v="0"/>
    <n v="46"/>
    <n v="24"/>
    <x v="15"/>
    <n v="105.98399999999999"/>
  </r>
  <r>
    <n v="1220"/>
    <x v="75"/>
    <n v="9"/>
    <x v="12"/>
    <s v="123 9th Street"/>
    <x v="11"/>
    <x v="11"/>
    <n v="99999"/>
    <s v="USA"/>
    <x v="7"/>
    <x v="0"/>
    <d v="2014-07-11T00:00:00"/>
    <x v="1"/>
    <s v="Sven Mortensen"/>
    <s v="123 9th Street"/>
    <x v="11"/>
    <s v="UT"/>
    <n v="99999"/>
    <s v="USA"/>
    <s v="Check"/>
    <x v="8"/>
    <x v="4"/>
    <n v="9.65"/>
    <n v="90"/>
    <x v="172"/>
    <n v="83.376000000000005"/>
  </r>
  <r>
    <n v="1221"/>
    <x v="76"/>
    <n v="6"/>
    <x v="6"/>
    <s v="123 6th Street"/>
    <x v="5"/>
    <x v="5"/>
    <n v="99999"/>
    <s v="USA"/>
    <x v="4"/>
    <x v="2"/>
    <d v="2014-07-08T00:00:00"/>
    <x v="0"/>
    <s v="Francisco Pérez-Olaeta"/>
    <s v="123 6th Street"/>
    <x v="5"/>
    <s v="WI"/>
    <n v="99999"/>
    <s v="USA"/>
    <s v="Credit Card"/>
    <x v="7"/>
    <x v="3"/>
    <n v="12.75"/>
    <n v="28"/>
    <x v="173"/>
    <n v="35.700000000000003"/>
  </r>
  <r>
    <n v="1222"/>
    <x v="85"/>
    <n v="28"/>
    <x v="7"/>
    <s v="789 28th Street"/>
    <x v="6"/>
    <x v="6"/>
    <n v="99999"/>
    <s v="USA"/>
    <x v="5"/>
    <x v="3"/>
    <d v="2014-08-30T00:00:00"/>
    <x v="2"/>
    <s v="Amritansh Raghav"/>
    <s v="789 28th Street"/>
    <x v="6"/>
    <s v="TN"/>
    <n v="99999"/>
    <s v="USA"/>
    <s v="Check"/>
    <x v="5"/>
    <x v="0"/>
    <n v="46"/>
    <n v="28"/>
    <x v="174"/>
    <n v="133.95200000000003"/>
  </r>
  <r>
    <n v="1223"/>
    <x v="86"/>
    <n v="8"/>
    <x v="3"/>
    <s v="123 8th Street"/>
    <x v="2"/>
    <x v="2"/>
    <n v="99999"/>
    <s v="USA"/>
    <x v="2"/>
    <x v="2"/>
    <d v="2014-08-10T00:00:00"/>
    <x v="2"/>
    <s v="Elizabeth Andersen"/>
    <s v="123 8th Street"/>
    <x v="2"/>
    <s v="OR"/>
    <n v="99999"/>
    <s v="USA"/>
    <s v="Check"/>
    <x v="7"/>
    <x v="3"/>
    <n v="12.75"/>
    <n v="57"/>
    <x v="175"/>
    <n v="69.768000000000001"/>
  </r>
  <r>
    <n v="1224"/>
    <x v="87"/>
    <n v="10"/>
    <x v="8"/>
    <s v="123 10th Street"/>
    <x v="7"/>
    <x v="7"/>
    <n v="99999"/>
    <s v="USA"/>
    <x v="6"/>
    <x v="1"/>
    <d v="2014-08-12T00:00:00"/>
    <x v="0"/>
    <s v="Roland Wacker"/>
    <s v="123 10th Street"/>
    <x v="7"/>
    <s v="IL"/>
    <n v="99999"/>
    <s v="USA"/>
    <s v="Credit Card"/>
    <x v="10"/>
    <x v="0"/>
    <n v="2.99"/>
    <n v="23"/>
    <x v="176"/>
    <n v="6.6706900000000013"/>
  </r>
  <r>
    <n v="1225"/>
    <x v="88"/>
    <n v="7"/>
    <x v="9"/>
    <s v="123 7th Street"/>
    <x v="8"/>
    <x v="8"/>
    <n v="99999"/>
    <s v="USA"/>
    <x v="2"/>
    <x v="2"/>
    <m/>
    <x v="3"/>
    <s v="Ming-Yang Xie"/>
    <s v="123 7th Street"/>
    <x v="8"/>
    <s v="ID"/>
    <n v="99999"/>
    <s v="USA"/>
    <m/>
    <x v="5"/>
    <x v="0"/>
    <n v="46"/>
    <n v="86"/>
    <x v="177"/>
    <n v="399.55600000000004"/>
  </r>
  <r>
    <n v="1226"/>
    <x v="87"/>
    <n v="10"/>
    <x v="8"/>
    <s v="123 10th Street"/>
    <x v="7"/>
    <x v="7"/>
    <n v="99999"/>
    <s v="USA"/>
    <x v="6"/>
    <x v="1"/>
    <d v="2014-08-12T00:00:00"/>
    <x v="1"/>
    <s v="Roland Wacker"/>
    <s v="123 10th Street"/>
    <x v="7"/>
    <s v="IL"/>
    <n v="99999"/>
    <s v="USA"/>
    <m/>
    <x v="11"/>
    <x v="6"/>
    <n v="25"/>
    <n v="47"/>
    <x v="178"/>
    <n v="116.325"/>
  </r>
  <r>
    <n v="1227"/>
    <x v="87"/>
    <n v="10"/>
    <x v="8"/>
    <s v="123 10th Street"/>
    <x v="7"/>
    <x v="7"/>
    <n v="99999"/>
    <s v="USA"/>
    <x v="6"/>
    <x v="1"/>
    <d v="2014-08-12T00:00:00"/>
    <x v="1"/>
    <s v="Roland Wacker"/>
    <s v="123 10th Street"/>
    <x v="7"/>
    <s v="IL"/>
    <n v="99999"/>
    <s v="USA"/>
    <m/>
    <x v="12"/>
    <x v="7"/>
    <n v="22"/>
    <n v="97"/>
    <x v="179"/>
    <n v="221.93600000000001"/>
  </r>
  <r>
    <n v="1228"/>
    <x v="87"/>
    <n v="10"/>
    <x v="8"/>
    <s v="123 10th Street"/>
    <x v="7"/>
    <x v="7"/>
    <n v="99999"/>
    <s v="USA"/>
    <x v="6"/>
    <x v="1"/>
    <d v="2014-08-12T00:00:00"/>
    <x v="1"/>
    <s v="Roland Wacker"/>
    <s v="123 10th Street"/>
    <x v="7"/>
    <s v="IL"/>
    <n v="99999"/>
    <s v="USA"/>
    <m/>
    <x v="6"/>
    <x v="2"/>
    <n v="9.1999999999999993"/>
    <n v="96"/>
    <x v="180"/>
    <n v="86.553599999999989"/>
  </r>
  <r>
    <n v="1229"/>
    <x v="89"/>
    <n v="11"/>
    <x v="10"/>
    <s v="123 11th Street"/>
    <x v="9"/>
    <x v="9"/>
    <n v="99999"/>
    <s v="USA"/>
    <x v="5"/>
    <x v="3"/>
    <m/>
    <x v="2"/>
    <s v="Peter Krschne"/>
    <s v="123 11th Street"/>
    <x v="9"/>
    <s v="FL"/>
    <n v="99999"/>
    <s v="USA"/>
    <m/>
    <x v="1"/>
    <x v="1"/>
    <n v="3.5"/>
    <n v="31"/>
    <x v="181"/>
    <n v="10.850000000000001"/>
  </r>
  <r>
    <n v="1230"/>
    <x v="89"/>
    <n v="11"/>
    <x v="10"/>
    <s v="123 11th Street"/>
    <x v="9"/>
    <x v="9"/>
    <n v="99999"/>
    <s v="USA"/>
    <x v="5"/>
    <x v="3"/>
    <m/>
    <x v="2"/>
    <s v="Peter Krschne"/>
    <s v="123 11th Street"/>
    <x v="9"/>
    <s v="FL"/>
    <n v="99999"/>
    <s v="USA"/>
    <m/>
    <x v="10"/>
    <x v="0"/>
    <n v="2.99"/>
    <n v="52"/>
    <x v="182"/>
    <n v="16.014440000000004"/>
  </r>
  <r>
    <n v="1231"/>
    <x v="90"/>
    <n v="1"/>
    <x v="11"/>
    <s v="123 1st Street"/>
    <x v="10"/>
    <x v="10"/>
    <n v="99999"/>
    <s v="USA"/>
    <x v="2"/>
    <x v="2"/>
    <m/>
    <x v="3"/>
    <s v="Anna Bedecs"/>
    <s v="123 1st Street"/>
    <x v="10"/>
    <s v="WA"/>
    <n v="99999"/>
    <s v="USA"/>
    <m/>
    <x v="4"/>
    <x v="0"/>
    <n v="18"/>
    <n v="91"/>
    <x v="183"/>
    <n v="158.886"/>
  </r>
  <r>
    <n v="1232"/>
    <x v="90"/>
    <n v="1"/>
    <x v="11"/>
    <s v="123 1st Street"/>
    <x v="10"/>
    <x v="10"/>
    <n v="99999"/>
    <s v="USA"/>
    <x v="2"/>
    <x v="2"/>
    <m/>
    <x v="3"/>
    <s v="Anna Bedecs"/>
    <s v="123 1st Street"/>
    <x v="10"/>
    <s v="WA"/>
    <n v="99999"/>
    <s v="USA"/>
    <m/>
    <x v="5"/>
    <x v="0"/>
    <n v="46"/>
    <n v="14"/>
    <x v="184"/>
    <n v="63.756000000000007"/>
  </r>
  <r>
    <n v="1233"/>
    <x v="90"/>
    <n v="1"/>
    <x v="11"/>
    <s v="123 1st Street"/>
    <x v="10"/>
    <x v="10"/>
    <n v="99999"/>
    <s v="USA"/>
    <x v="2"/>
    <x v="2"/>
    <m/>
    <x v="3"/>
    <s v="Anna Bedecs"/>
    <s v="123 1st Street"/>
    <x v="10"/>
    <s v="WA"/>
    <n v="99999"/>
    <s v="USA"/>
    <m/>
    <x v="10"/>
    <x v="0"/>
    <n v="2.99"/>
    <n v="44"/>
    <x v="185"/>
    <n v="13.287560000000001"/>
  </r>
  <r>
    <n v="1234"/>
    <x v="85"/>
    <n v="28"/>
    <x v="7"/>
    <s v="789 28th Street"/>
    <x v="6"/>
    <x v="6"/>
    <n v="99999"/>
    <s v="USA"/>
    <x v="5"/>
    <x v="3"/>
    <d v="2014-08-30T00:00:00"/>
    <x v="2"/>
    <s v="Amritansh Raghav"/>
    <s v="789 28th Street"/>
    <x v="6"/>
    <s v="TN"/>
    <n v="99999"/>
    <s v="USA"/>
    <s v="Credit Card"/>
    <x v="8"/>
    <x v="4"/>
    <n v="9.65"/>
    <n v="97"/>
    <x v="53"/>
    <n v="95.477100000000021"/>
  </r>
  <r>
    <n v="1235"/>
    <x v="85"/>
    <n v="28"/>
    <x v="7"/>
    <s v="789 28th Street"/>
    <x v="6"/>
    <x v="6"/>
    <n v="99999"/>
    <s v="USA"/>
    <x v="5"/>
    <x v="3"/>
    <d v="2014-08-30T00:00:00"/>
    <x v="2"/>
    <s v="Amritansh Raghav"/>
    <s v="789 28th Street"/>
    <x v="6"/>
    <s v="TN"/>
    <n v="99999"/>
    <s v="USA"/>
    <s v="Credit Card"/>
    <x v="13"/>
    <x v="8"/>
    <n v="18.399999999999999"/>
    <n v="80"/>
    <x v="36"/>
    <n v="150.14400000000003"/>
  </r>
  <r>
    <n v="1236"/>
    <x v="91"/>
    <n v="9"/>
    <x v="12"/>
    <s v="123 9th Street"/>
    <x v="11"/>
    <x v="11"/>
    <n v="99999"/>
    <s v="USA"/>
    <x v="7"/>
    <x v="0"/>
    <d v="2014-08-11T00:00:00"/>
    <x v="1"/>
    <s v="Sven Mortensen"/>
    <s v="123 9th Street"/>
    <x v="11"/>
    <s v="UT"/>
    <n v="99999"/>
    <s v="USA"/>
    <s v="Check"/>
    <x v="14"/>
    <x v="9"/>
    <n v="19.5"/>
    <n v="66"/>
    <x v="186"/>
    <n v="132.56100000000001"/>
  </r>
  <r>
    <n v="1237"/>
    <x v="91"/>
    <n v="9"/>
    <x v="12"/>
    <s v="123 9th Street"/>
    <x v="11"/>
    <x v="11"/>
    <n v="99999"/>
    <s v="USA"/>
    <x v="7"/>
    <x v="0"/>
    <d v="2014-08-11T00:00:00"/>
    <x v="1"/>
    <s v="Sven Mortensen"/>
    <s v="123 9th Street"/>
    <x v="11"/>
    <s v="UT"/>
    <n v="99999"/>
    <s v="USA"/>
    <s v="Check"/>
    <x v="15"/>
    <x v="10"/>
    <n v="34.799999999999997"/>
    <n v="32"/>
    <x v="187"/>
    <n v="111.36"/>
  </r>
  <r>
    <n v="1238"/>
    <x v="92"/>
    <n v="6"/>
    <x v="6"/>
    <s v="123 6th Street"/>
    <x v="5"/>
    <x v="5"/>
    <n v="99999"/>
    <s v="USA"/>
    <x v="4"/>
    <x v="2"/>
    <d v="2014-08-08T00:00:00"/>
    <x v="0"/>
    <s v="Francisco Pérez-Olaeta"/>
    <s v="123 6th Street"/>
    <x v="5"/>
    <s v="WI"/>
    <n v="99999"/>
    <s v="USA"/>
    <s v="Credit Card"/>
    <x v="0"/>
    <x v="0"/>
    <n v="14"/>
    <n v="52"/>
    <x v="188"/>
    <n v="72.8"/>
  </r>
  <r>
    <n v="1239"/>
    <x v="86"/>
    <n v="8"/>
    <x v="3"/>
    <s v="123 8th Street"/>
    <x v="2"/>
    <x v="2"/>
    <n v="99999"/>
    <s v="USA"/>
    <x v="2"/>
    <x v="2"/>
    <d v="2014-08-10T00:00:00"/>
    <x v="0"/>
    <s v="Elizabeth Andersen"/>
    <s v="123 8th Street"/>
    <x v="2"/>
    <s v="OR"/>
    <n v="99999"/>
    <s v="USA"/>
    <s v="Check"/>
    <x v="9"/>
    <x v="5"/>
    <n v="40"/>
    <n v="78"/>
    <x v="189"/>
    <n v="318.24"/>
  </r>
  <r>
    <n v="1240"/>
    <x v="86"/>
    <n v="8"/>
    <x v="3"/>
    <s v="123 8th Street"/>
    <x v="2"/>
    <x v="2"/>
    <n v="99999"/>
    <s v="USA"/>
    <x v="2"/>
    <x v="2"/>
    <d v="2014-08-10T00:00:00"/>
    <x v="0"/>
    <s v="Elizabeth Andersen"/>
    <s v="123 8th Street"/>
    <x v="2"/>
    <s v="OR"/>
    <n v="99999"/>
    <s v="USA"/>
    <s v="Check"/>
    <x v="6"/>
    <x v="2"/>
    <n v="9.1999999999999993"/>
    <n v="54"/>
    <x v="190"/>
    <n v="49.183199999999999"/>
  </r>
  <r>
    <n v="1241"/>
    <x v="93"/>
    <n v="25"/>
    <x v="13"/>
    <s v="789 25th Street"/>
    <x v="7"/>
    <x v="7"/>
    <n v="99999"/>
    <s v="USA"/>
    <x v="6"/>
    <x v="1"/>
    <d v="2014-08-27T00:00:00"/>
    <x v="1"/>
    <s v="John Rodman"/>
    <s v="789 25th Street"/>
    <x v="7"/>
    <s v="IL"/>
    <n v="99999"/>
    <s v="USA"/>
    <s v="Cash"/>
    <x v="21"/>
    <x v="2"/>
    <n v="10"/>
    <n v="55"/>
    <x v="62"/>
    <n v="52.25"/>
  </r>
  <r>
    <n v="1242"/>
    <x v="94"/>
    <n v="26"/>
    <x v="14"/>
    <s v="789 26th Street"/>
    <x v="9"/>
    <x v="9"/>
    <n v="99999"/>
    <s v="USA"/>
    <x v="5"/>
    <x v="3"/>
    <d v="2014-08-28T00:00:00"/>
    <x v="2"/>
    <s v="Run Liu"/>
    <s v="789 26th Street"/>
    <x v="9"/>
    <s v="FL"/>
    <n v="99999"/>
    <s v="USA"/>
    <s v="Credit Card"/>
    <x v="22"/>
    <x v="13"/>
    <n v="21.35"/>
    <n v="60"/>
    <x v="191"/>
    <n v="129.381"/>
  </r>
  <r>
    <n v="1243"/>
    <x v="94"/>
    <n v="26"/>
    <x v="14"/>
    <s v="789 26th Street"/>
    <x v="9"/>
    <x v="9"/>
    <n v="99999"/>
    <s v="USA"/>
    <x v="5"/>
    <x v="3"/>
    <d v="2014-08-28T00:00:00"/>
    <x v="2"/>
    <s v="Run Liu"/>
    <s v="789 26th Street"/>
    <x v="9"/>
    <s v="FL"/>
    <n v="99999"/>
    <s v="USA"/>
    <s v="Credit Card"/>
    <x v="8"/>
    <x v="4"/>
    <n v="9.65"/>
    <n v="19"/>
    <x v="192"/>
    <n v="17.41825"/>
  </r>
  <r>
    <n v="1244"/>
    <x v="94"/>
    <n v="26"/>
    <x v="14"/>
    <s v="789 26th Street"/>
    <x v="9"/>
    <x v="9"/>
    <n v="99999"/>
    <s v="USA"/>
    <x v="5"/>
    <x v="3"/>
    <d v="2014-08-28T00:00:00"/>
    <x v="2"/>
    <s v="Run Liu"/>
    <s v="789 26th Street"/>
    <x v="9"/>
    <s v="FL"/>
    <n v="99999"/>
    <s v="USA"/>
    <s v="Credit Card"/>
    <x v="13"/>
    <x v="8"/>
    <n v="18.399999999999999"/>
    <n v="66"/>
    <x v="193"/>
    <n v="125.08320000000001"/>
  </r>
  <r>
    <n v="1245"/>
    <x v="95"/>
    <n v="29"/>
    <x v="4"/>
    <s v="789 29th Street"/>
    <x v="3"/>
    <x v="3"/>
    <n v="99999"/>
    <s v="USA"/>
    <x v="3"/>
    <x v="0"/>
    <d v="2014-08-31T00:00:00"/>
    <x v="0"/>
    <s v="Soo Jung Lee"/>
    <s v="789 29th Street"/>
    <x v="3"/>
    <s v="CO"/>
    <n v="99999"/>
    <s v="USA"/>
    <s v="Check"/>
    <x v="0"/>
    <x v="0"/>
    <n v="14"/>
    <n v="42"/>
    <x v="194"/>
    <n v="59.388000000000005"/>
  </r>
  <r>
    <n v="1246"/>
    <x v="92"/>
    <n v="6"/>
    <x v="6"/>
    <s v="123 6th Street"/>
    <x v="5"/>
    <x v="5"/>
    <n v="99999"/>
    <s v="USA"/>
    <x v="4"/>
    <x v="2"/>
    <n v="41859"/>
    <x v="2"/>
    <s v="Francisco Pérez-Olaeta"/>
    <s v="123 6th Street"/>
    <x v="5"/>
    <s v="WI"/>
    <n v="99999"/>
    <s v="USA"/>
    <s v="Check"/>
    <x v="7"/>
    <x v="3"/>
    <n v="12.75"/>
    <n v="72"/>
    <x v="195"/>
    <n v="89.046000000000006"/>
  </r>
  <r>
    <n v="1248"/>
    <x v="96"/>
    <n v="4"/>
    <x v="1"/>
    <s v="123 4th Street"/>
    <x v="1"/>
    <x v="1"/>
    <n v="99999"/>
    <s v="USA"/>
    <x v="1"/>
    <x v="1"/>
    <n v="41857"/>
    <x v="1"/>
    <s v="Christina Lee"/>
    <s v="123 4th Street"/>
    <x v="1"/>
    <s v="NY"/>
    <n v="99999"/>
    <s v="USA"/>
    <s v="Credit Card"/>
    <x v="23"/>
    <x v="6"/>
    <n v="81"/>
    <n v="32"/>
    <x v="196"/>
    <n v="251.42399999999998"/>
  </r>
  <r>
    <n v="1249"/>
    <x v="96"/>
    <n v="4"/>
    <x v="1"/>
    <s v="123 4th Street"/>
    <x v="1"/>
    <x v="1"/>
    <n v="99999"/>
    <s v="USA"/>
    <x v="1"/>
    <x v="1"/>
    <n v="41857"/>
    <x v="1"/>
    <s v="Christina Lee"/>
    <s v="123 4th Street"/>
    <x v="1"/>
    <s v="NY"/>
    <n v="99999"/>
    <s v="USA"/>
    <s v="Credit Card"/>
    <x v="24"/>
    <x v="14"/>
    <n v="7"/>
    <n v="76"/>
    <x v="197"/>
    <n v="53.732000000000006"/>
  </r>
  <r>
    <n v="1250"/>
    <x v="97"/>
    <n v="10"/>
    <x v="8"/>
    <s v="123 10th Street"/>
    <x v="7"/>
    <x v="7"/>
    <n v="99999"/>
    <s v="USA"/>
    <x v="6"/>
    <x v="1"/>
    <n v="41894"/>
    <x v="1"/>
    <s v="Roland Wacker"/>
    <s v="123 10th Street"/>
    <x v="7"/>
    <s v="IL"/>
    <n v="99999"/>
    <s v="USA"/>
    <m/>
    <x v="6"/>
    <x v="2"/>
    <n v="9.1999999999999993"/>
    <n v="83"/>
    <x v="198"/>
    <n v="74.832799999999992"/>
  </r>
  <r>
    <n v="1251"/>
    <x v="98"/>
    <n v="11"/>
    <x v="10"/>
    <s v="123 11th Street"/>
    <x v="9"/>
    <x v="9"/>
    <n v="99999"/>
    <s v="USA"/>
    <x v="5"/>
    <x v="3"/>
    <m/>
    <x v="2"/>
    <s v="Peter Krschne"/>
    <s v="123 11th Street"/>
    <x v="9"/>
    <s v="FL"/>
    <n v="99999"/>
    <s v="USA"/>
    <m/>
    <x v="1"/>
    <x v="1"/>
    <n v="3.5"/>
    <n v="91"/>
    <x v="199"/>
    <n v="31.213000000000001"/>
  </r>
  <r>
    <n v="1252"/>
    <x v="98"/>
    <n v="11"/>
    <x v="10"/>
    <s v="123 11th Street"/>
    <x v="9"/>
    <x v="9"/>
    <n v="99999"/>
    <s v="USA"/>
    <x v="5"/>
    <x v="3"/>
    <m/>
    <x v="2"/>
    <s v="Peter Krschne"/>
    <s v="123 11th Street"/>
    <x v="9"/>
    <s v="FL"/>
    <n v="99999"/>
    <s v="USA"/>
    <m/>
    <x v="10"/>
    <x v="0"/>
    <n v="2.99"/>
    <n v="64"/>
    <x v="200"/>
    <n v="19.518720000000002"/>
  </r>
  <r>
    <n v="1253"/>
    <x v="99"/>
    <n v="1"/>
    <x v="11"/>
    <s v="123 1st Street"/>
    <x v="10"/>
    <x v="10"/>
    <n v="99999"/>
    <s v="USA"/>
    <x v="2"/>
    <x v="2"/>
    <m/>
    <x v="3"/>
    <s v="Anna Bedecs"/>
    <s v="123 1st Street"/>
    <x v="10"/>
    <s v="WA"/>
    <n v="99999"/>
    <s v="USA"/>
    <m/>
    <x v="4"/>
    <x v="0"/>
    <n v="18"/>
    <n v="58"/>
    <x v="137"/>
    <n v="103.35600000000001"/>
  </r>
  <r>
    <n v="1254"/>
    <x v="99"/>
    <n v="1"/>
    <x v="11"/>
    <s v="123 1st Street"/>
    <x v="10"/>
    <x v="10"/>
    <n v="99999"/>
    <s v="USA"/>
    <x v="2"/>
    <x v="2"/>
    <m/>
    <x v="3"/>
    <s v="Anna Bedecs"/>
    <s v="123 1st Street"/>
    <x v="10"/>
    <s v="WA"/>
    <n v="99999"/>
    <s v="USA"/>
    <m/>
    <x v="5"/>
    <x v="0"/>
    <n v="46"/>
    <n v="97"/>
    <x v="201"/>
    <n v="464.04800000000006"/>
  </r>
  <r>
    <n v="1255"/>
    <x v="99"/>
    <n v="1"/>
    <x v="11"/>
    <s v="123 1st Street"/>
    <x v="10"/>
    <x v="10"/>
    <n v="99999"/>
    <s v="USA"/>
    <x v="2"/>
    <x v="2"/>
    <m/>
    <x v="3"/>
    <s v="Anna Bedecs"/>
    <s v="123 1st Street"/>
    <x v="10"/>
    <s v="WA"/>
    <n v="99999"/>
    <s v="USA"/>
    <m/>
    <x v="10"/>
    <x v="0"/>
    <n v="2.99"/>
    <n v="14"/>
    <x v="202"/>
    <n v="4.35344"/>
  </r>
  <r>
    <n v="1256"/>
    <x v="100"/>
    <n v="28"/>
    <x v="7"/>
    <s v="789 28th Street"/>
    <x v="6"/>
    <x v="6"/>
    <n v="99999"/>
    <s v="USA"/>
    <x v="5"/>
    <x v="3"/>
    <d v="2014-09-30T00:00:00"/>
    <x v="2"/>
    <s v="Amritansh Raghav"/>
    <s v="789 28th Street"/>
    <x v="6"/>
    <s v="TN"/>
    <n v="99999"/>
    <s v="USA"/>
    <s v="Credit Card"/>
    <x v="8"/>
    <x v="4"/>
    <n v="9.65"/>
    <n v="68"/>
    <x v="203"/>
    <n v="64.307600000000008"/>
  </r>
  <r>
    <n v="1257"/>
    <x v="100"/>
    <n v="28"/>
    <x v="7"/>
    <s v="789 28th Street"/>
    <x v="6"/>
    <x v="6"/>
    <n v="99999"/>
    <s v="USA"/>
    <x v="5"/>
    <x v="3"/>
    <n v="41912"/>
    <x v="2"/>
    <s v="Amritansh Raghav"/>
    <s v="789 28th Street"/>
    <x v="6"/>
    <s v="TN"/>
    <n v="99999"/>
    <s v="USA"/>
    <s v="Credit Card"/>
    <x v="13"/>
    <x v="8"/>
    <n v="18.399999999999999"/>
    <n v="32"/>
    <x v="204"/>
    <n v="58.879999999999995"/>
  </r>
  <r>
    <n v="1258"/>
    <x v="101"/>
    <n v="9"/>
    <x v="12"/>
    <s v="123 9th Street"/>
    <x v="11"/>
    <x v="11"/>
    <n v="99999"/>
    <s v="USA"/>
    <x v="7"/>
    <x v="0"/>
    <d v="2014-09-11T00:00:00"/>
    <x v="1"/>
    <s v="Sven Mortensen"/>
    <s v="123 9th Street"/>
    <x v="11"/>
    <s v="UT"/>
    <n v="99999"/>
    <s v="USA"/>
    <s v="Check"/>
    <x v="14"/>
    <x v="9"/>
    <n v="19.5"/>
    <n v="48"/>
    <x v="205"/>
    <n v="94.536000000000016"/>
  </r>
  <r>
    <n v="1259"/>
    <x v="101"/>
    <n v="9"/>
    <x v="12"/>
    <s v="123 9th Street"/>
    <x v="11"/>
    <x v="11"/>
    <n v="99999"/>
    <s v="USA"/>
    <x v="7"/>
    <x v="0"/>
    <d v="2014-09-11T00:00:00"/>
    <x v="1"/>
    <s v="Sven Mortensen"/>
    <s v="123 9th Street"/>
    <x v="11"/>
    <s v="UT"/>
    <n v="99999"/>
    <s v="USA"/>
    <s v="Check"/>
    <x v="15"/>
    <x v="10"/>
    <n v="34.799999999999997"/>
    <n v="57"/>
    <x v="206"/>
    <n v="194.39280000000002"/>
  </r>
  <r>
    <n v="1260"/>
    <x v="102"/>
    <n v="6"/>
    <x v="6"/>
    <s v="123 6th Street"/>
    <x v="5"/>
    <x v="5"/>
    <n v="99999"/>
    <s v="USA"/>
    <x v="4"/>
    <x v="2"/>
    <d v="2014-09-08T00:00:00"/>
    <x v="0"/>
    <s v="Francisco Pérez-Olaeta"/>
    <s v="123 6th Street"/>
    <x v="5"/>
    <s v="WI"/>
    <n v="99999"/>
    <s v="USA"/>
    <s v="Credit Card"/>
    <x v="0"/>
    <x v="0"/>
    <n v="14"/>
    <n v="67"/>
    <x v="207"/>
    <n v="98.490000000000009"/>
  </r>
  <r>
    <n v="1261"/>
    <x v="103"/>
    <n v="8"/>
    <x v="3"/>
    <s v="123 8th Street"/>
    <x v="2"/>
    <x v="2"/>
    <n v="99999"/>
    <s v="USA"/>
    <x v="2"/>
    <x v="2"/>
    <n v="41892"/>
    <x v="0"/>
    <s v="Elizabeth Andersen"/>
    <s v="123 8th Street"/>
    <x v="2"/>
    <s v="OR"/>
    <n v="99999"/>
    <s v="USA"/>
    <s v="Check"/>
    <x v="9"/>
    <x v="5"/>
    <n v="40"/>
    <n v="48"/>
    <x v="208"/>
    <n v="188.16"/>
  </r>
  <r>
    <n v="1262"/>
    <x v="103"/>
    <n v="8"/>
    <x v="3"/>
    <s v="123 8th Street"/>
    <x v="2"/>
    <x v="2"/>
    <n v="99999"/>
    <s v="USA"/>
    <x v="2"/>
    <x v="2"/>
    <n v="41892"/>
    <x v="0"/>
    <s v="Elizabeth Andersen"/>
    <s v="123 8th Street"/>
    <x v="2"/>
    <s v="OR"/>
    <n v="99999"/>
    <s v="USA"/>
    <s v="Check"/>
    <x v="6"/>
    <x v="2"/>
    <n v="9.1999999999999993"/>
    <n v="77"/>
    <x v="209"/>
    <n v="72.256799999999998"/>
  </r>
  <r>
    <n v="1263"/>
    <x v="104"/>
    <n v="25"/>
    <x v="13"/>
    <s v="789 25th Street"/>
    <x v="7"/>
    <x v="7"/>
    <n v="99999"/>
    <s v="USA"/>
    <x v="6"/>
    <x v="1"/>
    <n v="41909"/>
    <x v="1"/>
    <s v="John Rodman"/>
    <s v="789 25th Street"/>
    <x v="7"/>
    <s v="IL"/>
    <n v="99999"/>
    <s v="USA"/>
    <s v="Cash"/>
    <x v="21"/>
    <x v="2"/>
    <n v="10"/>
    <n v="94"/>
    <x v="210"/>
    <n v="97.76"/>
  </r>
  <r>
    <n v="1264"/>
    <x v="105"/>
    <n v="26"/>
    <x v="14"/>
    <s v="789 26th Street"/>
    <x v="9"/>
    <x v="9"/>
    <n v="99999"/>
    <s v="USA"/>
    <x v="5"/>
    <x v="3"/>
    <n v="41910"/>
    <x v="2"/>
    <s v="Run Liu"/>
    <s v="789 26th Street"/>
    <x v="9"/>
    <s v="FL"/>
    <n v="99999"/>
    <s v="USA"/>
    <s v="Credit Card"/>
    <x v="22"/>
    <x v="13"/>
    <n v="21.35"/>
    <n v="54"/>
    <x v="211"/>
    <n v="121.05450000000003"/>
  </r>
  <r>
    <n v="1265"/>
    <x v="105"/>
    <n v="26"/>
    <x v="14"/>
    <s v="789 26th Street"/>
    <x v="9"/>
    <x v="9"/>
    <n v="99999"/>
    <s v="USA"/>
    <x v="5"/>
    <x v="3"/>
    <n v="41910"/>
    <x v="2"/>
    <s v="Run Liu"/>
    <s v="789 26th Street"/>
    <x v="9"/>
    <s v="FL"/>
    <n v="99999"/>
    <s v="USA"/>
    <s v="Credit Card"/>
    <x v="8"/>
    <x v="4"/>
    <n v="9.65"/>
    <n v="43"/>
    <x v="84"/>
    <n v="40.250150000000005"/>
  </r>
  <r>
    <n v="1266"/>
    <x v="105"/>
    <n v="26"/>
    <x v="14"/>
    <s v="789 26th Street"/>
    <x v="9"/>
    <x v="9"/>
    <n v="99999"/>
    <s v="USA"/>
    <x v="5"/>
    <x v="3"/>
    <d v="2014-09-28T00:00:00"/>
    <x v="2"/>
    <s v="Run Liu"/>
    <s v="789 26th Street"/>
    <x v="9"/>
    <s v="FL"/>
    <n v="99999"/>
    <s v="USA"/>
    <s v="Credit Card"/>
    <x v="13"/>
    <x v="8"/>
    <n v="18.399999999999999"/>
    <n v="71"/>
    <x v="143"/>
    <n v="134.55919999999998"/>
  </r>
  <r>
    <n v="1267"/>
    <x v="106"/>
    <n v="29"/>
    <x v="4"/>
    <s v="789 29th Street"/>
    <x v="3"/>
    <x v="3"/>
    <n v="99999"/>
    <s v="USA"/>
    <x v="3"/>
    <x v="0"/>
    <d v="2014-10-01T00:00:00"/>
    <x v="0"/>
    <s v="Soo Jung Lee"/>
    <s v="789 29th Street"/>
    <x v="3"/>
    <s v="CO"/>
    <n v="99999"/>
    <s v="USA"/>
    <s v="Check"/>
    <x v="0"/>
    <x v="0"/>
    <n v="14"/>
    <n v="50"/>
    <x v="212"/>
    <n v="67.2"/>
  </r>
  <r>
    <n v="1268"/>
    <x v="102"/>
    <n v="6"/>
    <x v="6"/>
    <s v="123 6th Street"/>
    <x v="5"/>
    <x v="5"/>
    <n v="99999"/>
    <s v="USA"/>
    <x v="4"/>
    <x v="2"/>
    <d v="2014-09-08T00:00:00"/>
    <x v="2"/>
    <s v="Francisco Pérez-Olaeta"/>
    <s v="123 6th Street"/>
    <x v="5"/>
    <s v="WI"/>
    <n v="99999"/>
    <s v="USA"/>
    <s v="Check"/>
    <x v="7"/>
    <x v="3"/>
    <n v="12.75"/>
    <n v="96"/>
    <x v="146"/>
    <n v="119.952"/>
  </r>
  <r>
    <n v="1270"/>
    <x v="107"/>
    <n v="4"/>
    <x v="1"/>
    <s v="123 4th Street"/>
    <x v="1"/>
    <x v="1"/>
    <n v="99999"/>
    <s v="USA"/>
    <x v="1"/>
    <x v="1"/>
    <d v="2014-09-06T00:00:00"/>
    <x v="1"/>
    <s v="Christina Lee"/>
    <s v="123 4th Street"/>
    <x v="1"/>
    <s v="NY"/>
    <n v="99999"/>
    <s v="USA"/>
    <s v="Credit Card"/>
    <x v="23"/>
    <x v="6"/>
    <n v="81"/>
    <n v="54"/>
    <x v="213"/>
    <n v="437.40000000000003"/>
  </r>
  <r>
    <n v="1271"/>
    <x v="107"/>
    <n v="4"/>
    <x v="1"/>
    <s v="123 4th Street"/>
    <x v="1"/>
    <x v="1"/>
    <n v="99999"/>
    <s v="USA"/>
    <x v="1"/>
    <x v="1"/>
    <d v="2014-09-06T00:00:00"/>
    <x v="1"/>
    <s v="Christina Lee"/>
    <s v="123 4th Street"/>
    <x v="1"/>
    <s v="NY"/>
    <n v="99999"/>
    <s v="USA"/>
    <s v="Credit Card"/>
    <x v="24"/>
    <x v="14"/>
    <n v="7"/>
    <n v="39"/>
    <x v="214"/>
    <n v="27.3"/>
  </r>
  <r>
    <n v="1273"/>
    <x v="103"/>
    <n v="8"/>
    <x v="3"/>
    <s v="123 8th Street"/>
    <x v="2"/>
    <x v="2"/>
    <n v="99999"/>
    <s v="USA"/>
    <x v="2"/>
    <x v="2"/>
    <d v="2014-09-10T00:00:00"/>
    <x v="2"/>
    <s v="Elizabeth Andersen"/>
    <s v="123 8th Street"/>
    <x v="2"/>
    <s v="OR"/>
    <n v="99999"/>
    <s v="USA"/>
    <s v="Credit Card"/>
    <x v="15"/>
    <x v="10"/>
    <n v="34.799999999999997"/>
    <n v="63"/>
    <x v="59"/>
    <n v="230.202"/>
  </r>
  <r>
    <n v="1276"/>
    <x v="108"/>
    <n v="3"/>
    <x v="5"/>
    <s v="123 3rd Street"/>
    <x v="4"/>
    <x v="4"/>
    <n v="99999"/>
    <s v="USA"/>
    <x v="0"/>
    <x v="0"/>
    <d v="2014-09-05T00:00:00"/>
    <x v="0"/>
    <s v="Thomas Axerr"/>
    <s v="123 3rd Street"/>
    <x v="4"/>
    <s v="CA"/>
    <n v="99999"/>
    <s v="USA"/>
    <s v="Cash"/>
    <x v="16"/>
    <x v="7"/>
    <n v="10"/>
    <n v="71"/>
    <x v="215"/>
    <n v="73.13"/>
  </r>
  <r>
    <n v="1277"/>
    <x v="108"/>
    <n v="3"/>
    <x v="5"/>
    <s v="123 3rd Street"/>
    <x v="4"/>
    <x v="4"/>
    <n v="99999"/>
    <s v="USA"/>
    <x v="0"/>
    <x v="0"/>
    <d v="2014-09-05T00:00:00"/>
    <x v="0"/>
    <s v="Thomas Axerr"/>
    <s v="123 3rd Street"/>
    <x v="4"/>
    <s v="CA"/>
    <n v="99999"/>
    <s v="USA"/>
    <s v="Cash"/>
    <x v="9"/>
    <x v="5"/>
    <n v="40"/>
    <n v="88"/>
    <x v="216"/>
    <n v="366.08000000000004"/>
  </r>
  <r>
    <n v="1281"/>
    <x v="97"/>
    <n v="10"/>
    <x v="8"/>
    <s v="123 10th Street"/>
    <x v="7"/>
    <x v="7"/>
    <n v="99999"/>
    <s v="USA"/>
    <x v="6"/>
    <x v="1"/>
    <d v="2014-09-12T00:00:00"/>
    <x v="0"/>
    <s v="Roland Wacker"/>
    <s v="123 10th Street"/>
    <x v="7"/>
    <s v="IL"/>
    <n v="99999"/>
    <s v="USA"/>
    <s v="Credit Card"/>
    <x v="18"/>
    <x v="1"/>
    <n v="10"/>
    <n v="59"/>
    <x v="217"/>
    <n v="59.59"/>
  </r>
  <r>
    <n v="1282"/>
    <x v="109"/>
    <n v="6"/>
    <x v="6"/>
    <s v="123 6th Street"/>
    <x v="5"/>
    <x v="5"/>
    <n v="99999"/>
    <s v="USA"/>
    <x v="4"/>
    <x v="2"/>
    <d v="2014-10-08T00:00:00"/>
    <x v="0"/>
    <s v="Francisco Pérez-Olaeta"/>
    <s v="123 6th Street"/>
    <x v="5"/>
    <s v="WI"/>
    <n v="99999"/>
    <s v="USA"/>
    <s v="Credit Card"/>
    <x v="9"/>
    <x v="5"/>
    <n v="40"/>
    <n v="94"/>
    <x v="218"/>
    <n v="376"/>
  </r>
  <r>
    <n v="1283"/>
    <x v="110"/>
    <n v="28"/>
    <x v="7"/>
    <s v="789 28th Street"/>
    <x v="6"/>
    <x v="6"/>
    <n v="99999"/>
    <s v="USA"/>
    <x v="5"/>
    <x v="3"/>
    <d v="2014-10-30T00:00:00"/>
    <x v="2"/>
    <s v="Amritansh Raghav"/>
    <s v="789 28th Street"/>
    <x v="6"/>
    <s v="TN"/>
    <n v="99999"/>
    <s v="USA"/>
    <s v="Check"/>
    <x v="5"/>
    <x v="0"/>
    <n v="46"/>
    <n v="86"/>
    <x v="177"/>
    <n v="379.77600000000001"/>
  </r>
  <r>
    <n v="1284"/>
    <x v="111"/>
    <n v="8"/>
    <x v="3"/>
    <s v="123 8th Street"/>
    <x v="2"/>
    <x v="2"/>
    <n v="99999"/>
    <s v="USA"/>
    <x v="2"/>
    <x v="2"/>
    <d v="2014-10-10T00:00:00"/>
    <x v="2"/>
    <s v="Elizabeth Andersen"/>
    <s v="123 8th Street"/>
    <x v="2"/>
    <s v="OR"/>
    <n v="99999"/>
    <s v="USA"/>
    <s v="Check"/>
    <x v="7"/>
    <x v="3"/>
    <n v="12.75"/>
    <n v="61"/>
    <x v="219"/>
    <n v="78.552750000000003"/>
  </r>
  <r>
    <n v="1285"/>
    <x v="112"/>
    <n v="10"/>
    <x v="8"/>
    <s v="123 10th Street"/>
    <x v="7"/>
    <x v="7"/>
    <n v="99999"/>
    <s v="USA"/>
    <x v="6"/>
    <x v="1"/>
    <d v="2014-10-12T00:00:00"/>
    <x v="0"/>
    <s v="Roland Wacker"/>
    <s v="123 10th Street"/>
    <x v="7"/>
    <s v="IL"/>
    <n v="99999"/>
    <s v="USA"/>
    <s v="Credit Card"/>
    <x v="10"/>
    <x v="0"/>
    <n v="2.99"/>
    <n v="32"/>
    <x v="220"/>
    <n v="9.7593600000000009"/>
  </r>
  <r>
    <n v="1286"/>
    <x v="113"/>
    <n v="7"/>
    <x v="9"/>
    <s v="123 7th Street"/>
    <x v="8"/>
    <x v="8"/>
    <n v="99999"/>
    <s v="USA"/>
    <x v="2"/>
    <x v="2"/>
    <m/>
    <x v="3"/>
    <s v="Ming-Yang Xie"/>
    <s v="123 7th Street"/>
    <x v="8"/>
    <s v="ID"/>
    <n v="99999"/>
    <s v="USA"/>
    <m/>
    <x v="5"/>
    <x v="0"/>
    <n v="46"/>
    <n v="62"/>
    <x v="221"/>
    <n v="290.904"/>
  </r>
  <r>
    <n v="1287"/>
    <x v="112"/>
    <n v="10"/>
    <x v="8"/>
    <s v="123 10th Street"/>
    <x v="7"/>
    <x v="7"/>
    <n v="99999"/>
    <s v="USA"/>
    <x v="6"/>
    <x v="1"/>
    <d v="2014-10-12T00:00:00"/>
    <x v="1"/>
    <s v="Roland Wacker"/>
    <s v="123 10th Street"/>
    <x v="7"/>
    <s v="IL"/>
    <n v="99999"/>
    <s v="USA"/>
    <m/>
    <x v="11"/>
    <x v="6"/>
    <n v="25"/>
    <n v="60"/>
    <x v="222"/>
    <n v="154.5"/>
  </r>
  <r>
    <n v="1288"/>
    <x v="112"/>
    <n v="10"/>
    <x v="8"/>
    <s v="123 10th Street"/>
    <x v="7"/>
    <x v="7"/>
    <n v="99999"/>
    <s v="USA"/>
    <x v="6"/>
    <x v="1"/>
    <d v="2014-10-12T00:00:00"/>
    <x v="1"/>
    <s v="Roland Wacker"/>
    <s v="123 10th Street"/>
    <x v="7"/>
    <s v="IL"/>
    <n v="99999"/>
    <s v="USA"/>
    <m/>
    <x v="12"/>
    <x v="7"/>
    <n v="22"/>
    <n v="51"/>
    <x v="223"/>
    <n v="109.956"/>
  </r>
  <r>
    <n v="1289"/>
    <x v="112"/>
    <n v="10"/>
    <x v="8"/>
    <s v="123 10th Street"/>
    <x v="7"/>
    <x v="7"/>
    <n v="99999"/>
    <s v="USA"/>
    <x v="6"/>
    <x v="1"/>
    <d v="2014-10-12T00:00:00"/>
    <x v="1"/>
    <s v="Roland Wacker"/>
    <s v="123 10th Street"/>
    <x v="7"/>
    <s v="IL"/>
    <n v="99999"/>
    <s v="USA"/>
    <m/>
    <x v="6"/>
    <x v="2"/>
    <n v="9.1999999999999993"/>
    <n v="49"/>
    <x v="224"/>
    <n v="44.629199999999997"/>
  </r>
  <r>
    <n v="1290"/>
    <x v="114"/>
    <n v="11"/>
    <x v="10"/>
    <s v="123 11th Street"/>
    <x v="9"/>
    <x v="9"/>
    <n v="99999"/>
    <s v="USA"/>
    <x v="5"/>
    <x v="3"/>
    <m/>
    <x v="2"/>
    <s v="Peter Krschne"/>
    <s v="123 11th Street"/>
    <x v="9"/>
    <s v="FL"/>
    <n v="99999"/>
    <s v="USA"/>
    <m/>
    <x v="1"/>
    <x v="1"/>
    <n v="3.5"/>
    <n v="20"/>
    <x v="225"/>
    <n v="6.93"/>
  </r>
  <r>
    <n v="1291"/>
    <x v="114"/>
    <n v="11"/>
    <x v="10"/>
    <s v="123 11th Street"/>
    <x v="9"/>
    <x v="9"/>
    <n v="99999"/>
    <s v="USA"/>
    <x v="5"/>
    <x v="3"/>
    <m/>
    <x v="2"/>
    <s v="Peter Krschne"/>
    <s v="123 11th Street"/>
    <x v="9"/>
    <s v="FL"/>
    <n v="99999"/>
    <s v="USA"/>
    <m/>
    <x v="10"/>
    <x v="0"/>
    <n v="2.99"/>
    <n v="49"/>
    <x v="20"/>
    <n v="14.651000000000003"/>
  </r>
  <r>
    <n v="1292"/>
    <x v="115"/>
    <n v="1"/>
    <x v="11"/>
    <s v="123 1st Street"/>
    <x v="10"/>
    <x v="10"/>
    <n v="99999"/>
    <s v="USA"/>
    <x v="2"/>
    <x v="2"/>
    <m/>
    <x v="3"/>
    <s v="Anna Bedecs"/>
    <s v="123 1st Street"/>
    <x v="10"/>
    <s v="WA"/>
    <n v="99999"/>
    <s v="USA"/>
    <m/>
    <x v="4"/>
    <x v="0"/>
    <n v="18"/>
    <n v="22"/>
    <x v="226"/>
    <n v="38.015999999999998"/>
  </r>
  <r>
    <n v="1293"/>
    <x v="115"/>
    <n v="1"/>
    <x v="11"/>
    <s v="123 1st Street"/>
    <x v="10"/>
    <x v="10"/>
    <n v="99999"/>
    <s v="USA"/>
    <x v="2"/>
    <x v="2"/>
    <m/>
    <x v="3"/>
    <s v="Anna Bedecs"/>
    <s v="123 1st Street"/>
    <x v="10"/>
    <s v="WA"/>
    <n v="99999"/>
    <s v="USA"/>
    <m/>
    <x v="5"/>
    <x v="0"/>
    <n v="46"/>
    <n v="73"/>
    <x v="227"/>
    <n v="339.15800000000002"/>
  </r>
  <r>
    <n v="1294"/>
    <x v="115"/>
    <n v="1"/>
    <x v="11"/>
    <s v="123 1st Street"/>
    <x v="10"/>
    <x v="10"/>
    <n v="99999"/>
    <s v="USA"/>
    <x v="2"/>
    <x v="2"/>
    <m/>
    <x v="3"/>
    <s v="Anna Bedecs"/>
    <s v="123 1st Street"/>
    <x v="10"/>
    <s v="WA"/>
    <n v="99999"/>
    <s v="USA"/>
    <m/>
    <x v="10"/>
    <x v="0"/>
    <n v="2.99"/>
    <n v="85"/>
    <x v="228"/>
    <n v="24.652550000000002"/>
  </r>
  <r>
    <n v="1295"/>
    <x v="110"/>
    <n v="28"/>
    <x v="7"/>
    <s v="789 28th Street"/>
    <x v="6"/>
    <x v="6"/>
    <n v="99999"/>
    <s v="USA"/>
    <x v="5"/>
    <x v="3"/>
    <d v="2014-10-30T00:00:00"/>
    <x v="2"/>
    <s v="Amritansh Raghav"/>
    <s v="789 28th Street"/>
    <x v="6"/>
    <s v="TN"/>
    <n v="99999"/>
    <s v="USA"/>
    <s v="Credit Card"/>
    <x v="8"/>
    <x v="4"/>
    <n v="9.65"/>
    <n v="44"/>
    <x v="229"/>
    <n v="44.158400000000007"/>
  </r>
  <r>
    <n v="1296"/>
    <x v="110"/>
    <n v="28"/>
    <x v="7"/>
    <s v="789 28th Street"/>
    <x v="6"/>
    <x v="6"/>
    <n v="99999"/>
    <s v="USA"/>
    <x v="5"/>
    <x v="3"/>
    <d v="2014-10-30T00:00:00"/>
    <x v="2"/>
    <s v="Amritansh Raghav"/>
    <s v="789 28th Street"/>
    <x v="6"/>
    <s v="TN"/>
    <n v="99999"/>
    <s v="USA"/>
    <s v="Credit Card"/>
    <x v="13"/>
    <x v="8"/>
    <n v="18.399999999999999"/>
    <n v="24"/>
    <x v="230"/>
    <n v="42.835199999999993"/>
  </r>
  <r>
    <n v="1297"/>
    <x v="116"/>
    <n v="9"/>
    <x v="12"/>
    <s v="123 9th Street"/>
    <x v="11"/>
    <x v="11"/>
    <n v="99999"/>
    <s v="USA"/>
    <x v="7"/>
    <x v="0"/>
    <d v="2014-10-11T00:00:00"/>
    <x v="1"/>
    <s v="Sven Mortensen"/>
    <s v="123 9th Street"/>
    <x v="11"/>
    <s v="UT"/>
    <n v="99999"/>
    <s v="USA"/>
    <s v="Check"/>
    <x v="14"/>
    <x v="9"/>
    <n v="19.5"/>
    <n v="64"/>
    <x v="231"/>
    <n v="119.80800000000001"/>
  </r>
  <r>
    <n v="1298"/>
    <x v="116"/>
    <n v="9"/>
    <x v="12"/>
    <s v="123 9th Street"/>
    <x v="11"/>
    <x v="11"/>
    <n v="99999"/>
    <s v="USA"/>
    <x v="7"/>
    <x v="0"/>
    <d v="2014-10-11T00:00:00"/>
    <x v="1"/>
    <s v="Sven Mortensen"/>
    <s v="123 9th Street"/>
    <x v="11"/>
    <s v="UT"/>
    <n v="99999"/>
    <s v="USA"/>
    <s v="Check"/>
    <x v="15"/>
    <x v="10"/>
    <n v="34.799999999999997"/>
    <n v="70"/>
    <x v="232"/>
    <n v="246.03600000000003"/>
  </r>
  <r>
    <n v="1299"/>
    <x v="109"/>
    <n v="6"/>
    <x v="6"/>
    <s v="123 6th Street"/>
    <x v="5"/>
    <x v="5"/>
    <n v="99999"/>
    <s v="USA"/>
    <x v="4"/>
    <x v="2"/>
    <d v="2014-10-08T00:00:00"/>
    <x v="0"/>
    <s v="Francisco Pérez-Olaeta"/>
    <s v="123 6th Street"/>
    <x v="5"/>
    <s v="WI"/>
    <n v="99999"/>
    <s v="USA"/>
    <s v="Credit Card"/>
    <x v="0"/>
    <x v="0"/>
    <n v="14"/>
    <n v="98"/>
    <x v="233"/>
    <n v="138.57200000000003"/>
  </r>
  <r>
    <n v="1300"/>
    <x v="111"/>
    <n v="8"/>
    <x v="3"/>
    <s v="123 8th Street"/>
    <x v="2"/>
    <x v="2"/>
    <n v="99999"/>
    <s v="USA"/>
    <x v="2"/>
    <x v="2"/>
    <d v="2014-10-10T00:00:00"/>
    <x v="0"/>
    <s v="Elizabeth Andersen"/>
    <s v="123 8th Street"/>
    <x v="2"/>
    <s v="OR"/>
    <n v="99999"/>
    <s v="USA"/>
    <s v="Check"/>
    <x v="9"/>
    <x v="5"/>
    <n v="40"/>
    <n v="48"/>
    <x v="208"/>
    <n v="188.16"/>
  </r>
  <r>
    <n v="1301"/>
    <x v="111"/>
    <n v="8"/>
    <x v="3"/>
    <s v="123 8th Street"/>
    <x v="2"/>
    <x v="2"/>
    <n v="99999"/>
    <s v="USA"/>
    <x v="2"/>
    <x v="2"/>
    <d v="2014-10-10T00:00:00"/>
    <x v="0"/>
    <s v="Elizabeth Andersen"/>
    <s v="123 8th Street"/>
    <x v="2"/>
    <s v="OR"/>
    <n v="99999"/>
    <s v="USA"/>
    <s v="Check"/>
    <x v="6"/>
    <x v="2"/>
    <n v="9.1999999999999993"/>
    <n v="100"/>
    <x v="234"/>
    <n v="91.08"/>
  </r>
  <r>
    <n v="1302"/>
    <x v="117"/>
    <n v="25"/>
    <x v="13"/>
    <s v="789 25th Street"/>
    <x v="7"/>
    <x v="7"/>
    <n v="99999"/>
    <s v="USA"/>
    <x v="6"/>
    <x v="1"/>
    <d v="2014-10-27T00:00:00"/>
    <x v="1"/>
    <s v="John Rodman"/>
    <s v="789 25th Street"/>
    <x v="7"/>
    <s v="IL"/>
    <n v="99999"/>
    <s v="USA"/>
    <s v="Cash"/>
    <x v="21"/>
    <x v="2"/>
    <n v="10"/>
    <n v="90"/>
    <x v="235"/>
    <n v="87.3"/>
  </r>
  <r>
    <n v="1303"/>
    <x v="118"/>
    <n v="26"/>
    <x v="14"/>
    <s v="789 26th Street"/>
    <x v="9"/>
    <x v="9"/>
    <n v="99999"/>
    <s v="USA"/>
    <x v="5"/>
    <x v="3"/>
    <d v="2014-10-28T00:00:00"/>
    <x v="2"/>
    <s v="Run Liu"/>
    <s v="789 26th Street"/>
    <x v="9"/>
    <s v="FL"/>
    <n v="99999"/>
    <s v="USA"/>
    <s v="Credit Card"/>
    <x v="22"/>
    <x v="13"/>
    <n v="21.35"/>
    <n v="49"/>
    <x v="236"/>
    <n v="102.5227"/>
  </r>
  <r>
    <n v="1304"/>
    <x v="118"/>
    <n v="26"/>
    <x v="14"/>
    <s v="789 26th Street"/>
    <x v="9"/>
    <x v="9"/>
    <n v="99999"/>
    <s v="USA"/>
    <x v="5"/>
    <x v="3"/>
    <d v="2014-10-28T00:00:00"/>
    <x v="2"/>
    <s v="Run Liu"/>
    <s v="789 26th Street"/>
    <x v="9"/>
    <s v="FL"/>
    <n v="99999"/>
    <s v="USA"/>
    <s v="Credit Card"/>
    <x v="8"/>
    <x v="4"/>
    <n v="9.65"/>
    <n v="71"/>
    <x v="237"/>
    <n v="65.7744"/>
  </r>
  <r>
    <n v="1305"/>
    <x v="118"/>
    <n v="26"/>
    <x v="14"/>
    <s v="789 26th Street"/>
    <x v="9"/>
    <x v="9"/>
    <n v="99999"/>
    <s v="USA"/>
    <x v="5"/>
    <x v="3"/>
    <d v="2014-10-28T00:00:00"/>
    <x v="2"/>
    <s v="Run Liu"/>
    <s v="789 26th Street"/>
    <x v="9"/>
    <s v="FL"/>
    <n v="99999"/>
    <s v="USA"/>
    <s v="Credit Card"/>
    <x v="13"/>
    <x v="8"/>
    <n v="18.399999999999999"/>
    <n v="10"/>
    <x v="238"/>
    <n v="19.136000000000003"/>
  </r>
  <r>
    <n v="1306"/>
    <x v="119"/>
    <n v="29"/>
    <x v="4"/>
    <s v="789 29th Street"/>
    <x v="3"/>
    <x v="3"/>
    <n v="99999"/>
    <s v="USA"/>
    <x v="3"/>
    <x v="0"/>
    <d v="2014-10-31T00:00:00"/>
    <x v="0"/>
    <s v="Soo Jung Lee"/>
    <s v="789 29th Street"/>
    <x v="3"/>
    <s v="CO"/>
    <n v="99999"/>
    <s v="USA"/>
    <s v="Check"/>
    <x v="0"/>
    <x v="0"/>
    <n v="14"/>
    <n v="78"/>
    <x v="239"/>
    <n v="112.476"/>
  </r>
  <r>
    <n v="1307"/>
    <x v="109"/>
    <n v="6"/>
    <x v="6"/>
    <s v="123 6th Street"/>
    <x v="5"/>
    <x v="5"/>
    <n v="99999"/>
    <s v="USA"/>
    <x v="4"/>
    <x v="2"/>
    <d v="2014-10-08T00:00:00"/>
    <x v="2"/>
    <s v="Francisco Pérez-Olaeta"/>
    <s v="123 6th Street"/>
    <x v="5"/>
    <s v="WI"/>
    <n v="99999"/>
    <s v="USA"/>
    <s v="Check"/>
    <x v="7"/>
    <x v="3"/>
    <n v="12.75"/>
    <n v="44"/>
    <x v="134"/>
    <n v="53.856000000000002"/>
  </r>
  <r>
    <n v="1309"/>
    <x v="120"/>
    <n v="4"/>
    <x v="1"/>
    <s v="123 4th Street"/>
    <x v="1"/>
    <x v="1"/>
    <n v="99999"/>
    <s v="USA"/>
    <x v="1"/>
    <x v="1"/>
    <d v="2014-10-06T00:00:00"/>
    <x v="1"/>
    <s v="Christina Lee"/>
    <s v="123 4th Street"/>
    <x v="1"/>
    <s v="NY"/>
    <n v="99999"/>
    <s v="USA"/>
    <s v="Credit Card"/>
    <x v="23"/>
    <x v="6"/>
    <n v="81"/>
    <n v="82"/>
    <x v="240"/>
    <n v="697.41000000000008"/>
  </r>
  <r>
    <n v="1310"/>
    <x v="120"/>
    <n v="4"/>
    <x v="1"/>
    <s v="123 4th Street"/>
    <x v="1"/>
    <x v="1"/>
    <n v="99999"/>
    <s v="USA"/>
    <x v="1"/>
    <x v="1"/>
    <d v="2014-10-06T00:00:00"/>
    <x v="1"/>
    <s v="Christina Lee"/>
    <s v="123 4th Street"/>
    <x v="1"/>
    <s v="NY"/>
    <n v="99999"/>
    <s v="USA"/>
    <s v="Credit Card"/>
    <x v="24"/>
    <x v="14"/>
    <n v="7"/>
    <n v="29"/>
    <x v="241"/>
    <n v="20.3"/>
  </r>
  <r>
    <n v="1312"/>
    <x v="111"/>
    <n v="8"/>
    <x v="3"/>
    <s v="123 8th Street"/>
    <x v="2"/>
    <x v="2"/>
    <n v="99999"/>
    <s v="USA"/>
    <x v="2"/>
    <x v="2"/>
    <d v="2014-10-10T00:00:00"/>
    <x v="2"/>
    <s v="Elizabeth Andersen"/>
    <s v="123 8th Street"/>
    <x v="2"/>
    <s v="OR"/>
    <n v="99999"/>
    <s v="USA"/>
    <s v="Credit Card"/>
    <x v="15"/>
    <x v="10"/>
    <n v="34.799999999999997"/>
    <n v="93"/>
    <x v="242"/>
    <n v="313.93079999999998"/>
  </r>
  <r>
    <n v="1315"/>
    <x v="121"/>
    <n v="3"/>
    <x v="5"/>
    <s v="123 3rd Street"/>
    <x v="4"/>
    <x v="4"/>
    <n v="99999"/>
    <s v="USA"/>
    <x v="0"/>
    <x v="0"/>
    <d v="2014-10-05T00:00:00"/>
    <x v="0"/>
    <s v="Thomas Axerr"/>
    <s v="123 3rd Street"/>
    <x v="4"/>
    <s v="CA"/>
    <n v="99999"/>
    <s v="USA"/>
    <s v="Cash"/>
    <x v="16"/>
    <x v="7"/>
    <n v="10"/>
    <n v="11"/>
    <x v="243"/>
    <n v="11.440000000000001"/>
  </r>
  <r>
    <n v="1316"/>
    <x v="121"/>
    <n v="3"/>
    <x v="5"/>
    <s v="123 3rd Street"/>
    <x v="4"/>
    <x v="4"/>
    <n v="99999"/>
    <s v="USA"/>
    <x v="0"/>
    <x v="0"/>
    <d v="2014-10-05T00:00:00"/>
    <x v="0"/>
    <s v="Thomas Axerr"/>
    <s v="123 3rd Street"/>
    <x v="4"/>
    <s v="CA"/>
    <n v="99999"/>
    <s v="USA"/>
    <s v="Cash"/>
    <x v="9"/>
    <x v="5"/>
    <n v="40"/>
    <n v="91"/>
    <x v="157"/>
    <n v="364"/>
  </r>
  <r>
    <n v="1320"/>
    <x v="112"/>
    <n v="10"/>
    <x v="8"/>
    <s v="123 10th Street"/>
    <x v="7"/>
    <x v="7"/>
    <n v="99999"/>
    <s v="USA"/>
    <x v="6"/>
    <x v="1"/>
    <d v="2014-10-12T00:00:00"/>
    <x v="0"/>
    <s v="Roland Wacker"/>
    <s v="123 10th Street"/>
    <x v="7"/>
    <s v="IL"/>
    <n v="99999"/>
    <s v="USA"/>
    <s v="Credit Card"/>
    <x v="18"/>
    <x v="1"/>
    <n v="10"/>
    <n v="12"/>
    <x v="244"/>
    <n v="12.36"/>
  </r>
  <r>
    <n v="1322"/>
    <x v="112"/>
    <n v="10"/>
    <x v="8"/>
    <s v="123 10th Street"/>
    <x v="7"/>
    <x v="7"/>
    <n v="99999"/>
    <s v="USA"/>
    <x v="6"/>
    <x v="1"/>
    <m/>
    <x v="1"/>
    <s v="Roland Wacker"/>
    <s v="123 10th Street"/>
    <x v="7"/>
    <s v="IL"/>
    <n v="99999"/>
    <s v="USA"/>
    <m/>
    <x v="1"/>
    <x v="1"/>
    <n v="3.5"/>
    <n v="78"/>
    <x v="214"/>
    <n v="27.3"/>
  </r>
  <r>
    <n v="1323"/>
    <x v="114"/>
    <n v="11"/>
    <x v="10"/>
    <s v="123 11th Street"/>
    <x v="9"/>
    <x v="9"/>
    <n v="99999"/>
    <s v="USA"/>
    <x v="5"/>
    <x v="3"/>
    <m/>
    <x v="2"/>
    <s v="Peter Krschne"/>
    <s v="123 11th Street"/>
    <x v="9"/>
    <s v="FL"/>
    <n v="99999"/>
    <s v="USA"/>
    <m/>
    <x v="9"/>
    <x v="5"/>
    <n v="40"/>
    <n v="60"/>
    <x v="245"/>
    <n v="228"/>
  </r>
  <r>
    <n v="1324"/>
    <x v="115"/>
    <n v="1"/>
    <x v="11"/>
    <s v="123 1st Street"/>
    <x v="10"/>
    <x v="10"/>
    <n v="99999"/>
    <s v="USA"/>
    <x v="2"/>
    <x v="2"/>
    <m/>
    <x v="2"/>
    <s v="Anna Bedecs"/>
    <s v="123 1st Street"/>
    <x v="10"/>
    <s v="WA"/>
    <n v="99999"/>
    <s v="USA"/>
    <m/>
    <x v="13"/>
    <x v="8"/>
    <n v="18.399999999999999"/>
    <n v="23"/>
    <x v="246"/>
    <n v="43.589600000000004"/>
  </r>
  <r>
    <n v="1325"/>
    <x v="110"/>
    <n v="28"/>
    <x v="7"/>
    <s v="789 28th Street"/>
    <x v="6"/>
    <x v="6"/>
    <n v="99999"/>
    <s v="USA"/>
    <x v="5"/>
    <x v="3"/>
    <d v="2014-10-30T00:00:00"/>
    <x v="2"/>
    <s v="Amritansh Raghav"/>
    <s v="789 28th Street"/>
    <x v="6"/>
    <s v="TN"/>
    <n v="99999"/>
    <s v="USA"/>
    <s v="Credit Card"/>
    <x v="5"/>
    <x v="0"/>
    <n v="46"/>
    <n v="34"/>
    <x v="247"/>
    <n v="157.964"/>
  </r>
  <r>
    <n v="1326"/>
    <x v="116"/>
    <n v="9"/>
    <x v="12"/>
    <s v="123 9th Street"/>
    <x v="11"/>
    <x v="11"/>
    <n v="99999"/>
    <s v="USA"/>
    <x v="7"/>
    <x v="0"/>
    <d v="2014-10-11T00:00:00"/>
    <x v="1"/>
    <s v="Sven Mortensen"/>
    <s v="123 9th Street"/>
    <x v="11"/>
    <s v="UT"/>
    <n v="99999"/>
    <s v="USA"/>
    <s v="Check"/>
    <x v="8"/>
    <x v="4"/>
    <n v="9.65"/>
    <n v="89"/>
    <x v="248"/>
    <n v="86.743850000000009"/>
  </r>
  <r>
    <n v="1327"/>
    <x v="109"/>
    <n v="6"/>
    <x v="6"/>
    <s v="123 6th Street"/>
    <x v="5"/>
    <x v="5"/>
    <n v="99999"/>
    <s v="USA"/>
    <x v="4"/>
    <x v="2"/>
    <d v="2014-10-08T00:00:00"/>
    <x v="0"/>
    <s v="Francisco Pérez-Olaeta"/>
    <s v="123 6th Street"/>
    <x v="5"/>
    <s v="WI"/>
    <n v="99999"/>
    <s v="USA"/>
    <s v="Credit Card"/>
    <x v="7"/>
    <x v="3"/>
    <n v="12.75"/>
    <n v="82"/>
    <x v="249"/>
    <n v="103.50450000000001"/>
  </r>
  <r>
    <n v="1328"/>
    <x v="111"/>
    <n v="8"/>
    <x v="3"/>
    <s v="123 8th Street"/>
    <x v="2"/>
    <x v="2"/>
    <n v="99999"/>
    <s v="USA"/>
    <x v="2"/>
    <x v="2"/>
    <d v="2014-10-10T00:00:00"/>
    <x v="0"/>
    <s v="Elizabeth Andersen"/>
    <s v="123 8th Street"/>
    <x v="2"/>
    <s v="OR"/>
    <n v="99999"/>
    <s v="USA"/>
    <s v="Check"/>
    <x v="7"/>
    <x v="3"/>
    <n v="12.75"/>
    <n v="43"/>
    <x v="250"/>
    <n v="52.631999999999998"/>
  </r>
  <r>
    <n v="1329"/>
    <x v="122"/>
    <n v="10"/>
    <x v="8"/>
    <s v="123 10th Street"/>
    <x v="7"/>
    <x v="7"/>
    <n v="99999"/>
    <s v="USA"/>
    <x v="6"/>
    <x v="1"/>
    <d v="2014-11-12T00:00:00"/>
    <x v="1"/>
    <s v="Roland Wacker"/>
    <s v="123 10th Street"/>
    <x v="7"/>
    <s v="IL"/>
    <n v="99999"/>
    <s v="USA"/>
    <m/>
    <x v="12"/>
    <x v="7"/>
    <n v="22"/>
    <n v="96"/>
    <x v="251"/>
    <n v="221.76000000000002"/>
  </r>
  <r>
    <n v="1330"/>
    <x v="122"/>
    <n v="10"/>
    <x v="8"/>
    <s v="123 10th Street"/>
    <x v="7"/>
    <x v="7"/>
    <n v="99999"/>
    <s v="USA"/>
    <x v="6"/>
    <x v="1"/>
    <d v="2014-11-12T00:00:00"/>
    <x v="1"/>
    <s v="Roland Wacker"/>
    <s v="123 10th Street"/>
    <x v="7"/>
    <s v="IL"/>
    <n v="99999"/>
    <s v="USA"/>
    <m/>
    <x v="6"/>
    <x v="2"/>
    <n v="9.1999999999999993"/>
    <n v="34"/>
    <x v="252"/>
    <n v="31.279999999999998"/>
  </r>
  <r>
    <n v="1331"/>
    <x v="123"/>
    <n v="11"/>
    <x v="10"/>
    <s v="123 11th Street"/>
    <x v="9"/>
    <x v="9"/>
    <n v="99999"/>
    <s v="USA"/>
    <x v="5"/>
    <x v="3"/>
    <m/>
    <x v="2"/>
    <s v="Peter Krschne"/>
    <s v="123 11th Street"/>
    <x v="9"/>
    <s v="FL"/>
    <n v="99999"/>
    <s v="USA"/>
    <m/>
    <x v="1"/>
    <x v="1"/>
    <n v="3.5"/>
    <n v="42"/>
    <x v="253"/>
    <n v="15.141000000000002"/>
  </r>
  <r>
    <n v="1332"/>
    <x v="123"/>
    <n v="11"/>
    <x v="10"/>
    <s v="123 11th Street"/>
    <x v="9"/>
    <x v="9"/>
    <n v="99999"/>
    <s v="USA"/>
    <x v="5"/>
    <x v="3"/>
    <m/>
    <x v="2"/>
    <s v="Peter Krschne"/>
    <s v="123 11th Street"/>
    <x v="9"/>
    <s v="FL"/>
    <n v="99999"/>
    <s v="USA"/>
    <m/>
    <x v="10"/>
    <x v="0"/>
    <n v="2.99"/>
    <n v="100"/>
    <x v="254"/>
    <n v="30.498000000000001"/>
  </r>
  <r>
    <n v="1333"/>
    <x v="124"/>
    <n v="1"/>
    <x v="11"/>
    <s v="123 1st Street"/>
    <x v="10"/>
    <x v="10"/>
    <n v="99999"/>
    <s v="USA"/>
    <x v="2"/>
    <x v="2"/>
    <m/>
    <x v="3"/>
    <s v="Anna Bedecs"/>
    <s v="123 1st Street"/>
    <x v="10"/>
    <s v="WA"/>
    <n v="99999"/>
    <s v="USA"/>
    <m/>
    <x v="4"/>
    <x v="0"/>
    <n v="18"/>
    <n v="42"/>
    <x v="21"/>
    <n v="76.356000000000009"/>
  </r>
  <r>
    <n v="1334"/>
    <x v="124"/>
    <n v="1"/>
    <x v="11"/>
    <s v="123 1st Street"/>
    <x v="10"/>
    <x v="10"/>
    <n v="99999"/>
    <s v="USA"/>
    <x v="2"/>
    <x v="2"/>
    <m/>
    <x v="3"/>
    <s v="Anna Bedecs"/>
    <s v="123 1st Street"/>
    <x v="10"/>
    <s v="WA"/>
    <n v="99999"/>
    <s v="USA"/>
    <m/>
    <x v="5"/>
    <x v="0"/>
    <n v="46"/>
    <n v="16"/>
    <x v="129"/>
    <n v="70.656000000000006"/>
  </r>
  <r>
    <n v="1335"/>
    <x v="124"/>
    <n v="1"/>
    <x v="11"/>
    <s v="123 1st Street"/>
    <x v="10"/>
    <x v="10"/>
    <n v="99999"/>
    <s v="USA"/>
    <x v="2"/>
    <x v="2"/>
    <m/>
    <x v="3"/>
    <s v="Anna Bedecs"/>
    <s v="123 1st Street"/>
    <x v="10"/>
    <s v="WA"/>
    <n v="99999"/>
    <s v="USA"/>
    <m/>
    <x v="10"/>
    <x v="0"/>
    <n v="2.99"/>
    <n v="22"/>
    <x v="255"/>
    <n v="6.3806599999999998"/>
  </r>
  <r>
    <n v="1336"/>
    <x v="125"/>
    <n v="28"/>
    <x v="7"/>
    <s v="789 28th Street"/>
    <x v="6"/>
    <x v="6"/>
    <n v="99999"/>
    <s v="USA"/>
    <x v="5"/>
    <x v="3"/>
    <d v="2014-11-30T00:00:00"/>
    <x v="2"/>
    <s v="Amritansh Raghav"/>
    <s v="789 28th Street"/>
    <x v="6"/>
    <s v="TN"/>
    <n v="99999"/>
    <s v="USA"/>
    <s v="Credit Card"/>
    <x v="8"/>
    <x v="4"/>
    <n v="9.65"/>
    <n v="46"/>
    <x v="256"/>
    <n v="45.721700000000006"/>
  </r>
  <r>
    <n v="1337"/>
    <x v="125"/>
    <n v="28"/>
    <x v="7"/>
    <s v="789 28th Street"/>
    <x v="6"/>
    <x v="6"/>
    <n v="99999"/>
    <s v="USA"/>
    <x v="5"/>
    <x v="3"/>
    <n v="41973"/>
    <x v="2"/>
    <s v="Amritansh Raghav"/>
    <s v="789 28th Street"/>
    <x v="6"/>
    <s v="TN"/>
    <n v="99999"/>
    <s v="USA"/>
    <s v="Credit Card"/>
    <x v="13"/>
    <x v="8"/>
    <n v="18.399999999999999"/>
    <n v="100"/>
    <x v="257"/>
    <n v="184"/>
  </r>
  <r>
    <n v="1338"/>
    <x v="126"/>
    <n v="9"/>
    <x v="12"/>
    <s v="123 9th Street"/>
    <x v="11"/>
    <x v="11"/>
    <n v="99999"/>
    <s v="USA"/>
    <x v="7"/>
    <x v="0"/>
    <n v="41954"/>
    <x v="1"/>
    <s v="Sven Mortensen"/>
    <s v="123 9th Street"/>
    <x v="11"/>
    <s v="UT"/>
    <n v="99999"/>
    <s v="USA"/>
    <s v="Check"/>
    <x v="14"/>
    <x v="9"/>
    <n v="19.5"/>
    <n v="87"/>
    <x v="258"/>
    <n v="174.73950000000002"/>
  </r>
  <r>
    <n v="1339"/>
    <x v="126"/>
    <n v="9"/>
    <x v="12"/>
    <s v="123 9th Street"/>
    <x v="11"/>
    <x v="11"/>
    <n v="99999"/>
    <s v="USA"/>
    <x v="7"/>
    <x v="0"/>
    <n v="41954"/>
    <x v="1"/>
    <s v="Sven Mortensen"/>
    <s v="123 9th Street"/>
    <x v="11"/>
    <s v="UT"/>
    <n v="99999"/>
    <s v="USA"/>
    <s v="Check"/>
    <x v="15"/>
    <x v="10"/>
    <n v="34.799999999999997"/>
    <n v="58"/>
    <x v="259"/>
    <n v="205.8768"/>
  </r>
  <r>
    <n v="1340"/>
    <x v="127"/>
    <n v="6"/>
    <x v="6"/>
    <s v="123 6th Street"/>
    <x v="5"/>
    <x v="5"/>
    <n v="99999"/>
    <s v="USA"/>
    <x v="4"/>
    <x v="2"/>
    <n v="41951"/>
    <x v="0"/>
    <s v="Francisco Pérez-Olaeta"/>
    <s v="123 6th Street"/>
    <x v="5"/>
    <s v="WI"/>
    <n v="99999"/>
    <s v="USA"/>
    <s v="Credit Card"/>
    <x v="0"/>
    <x v="0"/>
    <n v="14"/>
    <n v="85"/>
    <x v="260"/>
    <n v="120.19"/>
  </r>
  <r>
    <n v="1341"/>
    <x v="128"/>
    <n v="8"/>
    <x v="3"/>
    <s v="123 8th Street"/>
    <x v="2"/>
    <x v="2"/>
    <n v="99999"/>
    <s v="USA"/>
    <x v="2"/>
    <x v="2"/>
    <n v="41953"/>
    <x v="0"/>
    <s v="Elizabeth Andersen"/>
    <s v="123 8th Street"/>
    <x v="2"/>
    <s v="OR"/>
    <n v="99999"/>
    <s v="USA"/>
    <s v="Check"/>
    <x v="9"/>
    <x v="5"/>
    <n v="40"/>
    <n v="28"/>
    <x v="139"/>
    <n v="110.88"/>
  </r>
  <r>
    <n v="1342"/>
    <x v="128"/>
    <n v="8"/>
    <x v="3"/>
    <s v="123 8th Street"/>
    <x v="2"/>
    <x v="2"/>
    <n v="99999"/>
    <s v="USA"/>
    <x v="2"/>
    <x v="2"/>
    <d v="2014-11-10T00:00:00"/>
    <x v="0"/>
    <s v="Elizabeth Andersen"/>
    <s v="123 8th Street"/>
    <x v="2"/>
    <s v="OR"/>
    <n v="99999"/>
    <s v="USA"/>
    <s v="Check"/>
    <x v="6"/>
    <x v="2"/>
    <n v="9.1999999999999993"/>
    <n v="19"/>
    <x v="261"/>
    <n v="17.130400000000002"/>
  </r>
  <r>
    <n v="1343"/>
    <x v="129"/>
    <n v="25"/>
    <x v="13"/>
    <s v="789 25th Street"/>
    <x v="7"/>
    <x v="7"/>
    <n v="99999"/>
    <s v="USA"/>
    <x v="6"/>
    <x v="1"/>
    <d v="2014-11-27T00:00:00"/>
    <x v="1"/>
    <s v="John Rodman"/>
    <s v="789 25th Street"/>
    <x v="7"/>
    <s v="IL"/>
    <n v="99999"/>
    <s v="USA"/>
    <s v="Cash"/>
    <x v="21"/>
    <x v="2"/>
    <n v="10"/>
    <n v="99"/>
    <x v="82"/>
    <n v="102.96000000000001"/>
  </r>
  <r>
    <n v="1344"/>
    <x v="130"/>
    <n v="26"/>
    <x v="14"/>
    <s v="789 26th Street"/>
    <x v="9"/>
    <x v="9"/>
    <n v="99999"/>
    <s v="USA"/>
    <x v="5"/>
    <x v="3"/>
    <d v="2014-11-28T00:00:00"/>
    <x v="2"/>
    <s v="Run Liu"/>
    <s v="789 26th Street"/>
    <x v="9"/>
    <s v="FL"/>
    <n v="99999"/>
    <s v="USA"/>
    <s v="Credit Card"/>
    <x v="22"/>
    <x v="13"/>
    <n v="21.35"/>
    <n v="69"/>
    <x v="262"/>
    <n v="153.20760000000004"/>
  </r>
  <r>
    <n v="1345"/>
    <x v="130"/>
    <n v="26"/>
    <x v="14"/>
    <s v="789 26th Street"/>
    <x v="9"/>
    <x v="9"/>
    <n v="99999"/>
    <s v="USA"/>
    <x v="5"/>
    <x v="3"/>
    <d v="2014-11-28T00:00:00"/>
    <x v="2"/>
    <s v="Run Liu"/>
    <s v="789 26th Street"/>
    <x v="9"/>
    <s v="FL"/>
    <n v="99999"/>
    <s v="USA"/>
    <s v="Credit Card"/>
    <x v="8"/>
    <x v="4"/>
    <n v="9.65"/>
    <n v="37"/>
    <x v="263"/>
    <n v="33.919750000000001"/>
  </r>
  <r>
    <n v="1346"/>
    <x v="130"/>
    <n v="26"/>
    <x v="14"/>
    <s v="789 26th Street"/>
    <x v="9"/>
    <x v="9"/>
    <n v="99999"/>
    <s v="USA"/>
    <x v="5"/>
    <x v="3"/>
    <d v="2014-11-28T00:00:00"/>
    <x v="2"/>
    <s v="Run Liu"/>
    <s v="789 26th Street"/>
    <x v="9"/>
    <s v="FL"/>
    <n v="99999"/>
    <s v="USA"/>
    <s v="Credit Card"/>
    <x v="13"/>
    <x v="8"/>
    <n v="18.399999999999999"/>
    <n v="64"/>
    <x v="107"/>
    <n v="118.93759999999999"/>
  </r>
  <r>
    <n v="1347"/>
    <x v="131"/>
    <n v="29"/>
    <x v="4"/>
    <s v="789 29th Street"/>
    <x v="3"/>
    <x v="3"/>
    <n v="99999"/>
    <s v="USA"/>
    <x v="3"/>
    <x v="0"/>
    <d v="2014-12-01T00:00:00"/>
    <x v="0"/>
    <s v="Soo Jung Lee"/>
    <s v="789 29th Street"/>
    <x v="3"/>
    <s v="CO"/>
    <n v="99999"/>
    <s v="USA"/>
    <s v="Check"/>
    <x v="0"/>
    <x v="0"/>
    <n v="14"/>
    <n v="38"/>
    <x v="197"/>
    <n v="55.328000000000003"/>
  </r>
  <r>
    <n v="1348"/>
    <x v="127"/>
    <n v="6"/>
    <x v="6"/>
    <s v="123 6th Street"/>
    <x v="5"/>
    <x v="5"/>
    <n v="99999"/>
    <s v="USA"/>
    <x v="4"/>
    <x v="2"/>
    <d v="2014-11-08T00:00:00"/>
    <x v="2"/>
    <s v="Francisco Pérez-Olaeta"/>
    <s v="123 6th Street"/>
    <x v="5"/>
    <s v="WI"/>
    <n v="99999"/>
    <s v="USA"/>
    <s v="Check"/>
    <x v="7"/>
    <x v="3"/>
    <n v="12.75"/>
    <n v="15"/>
    <x v="264"/>
    <n v="18.55125"/>
  </r>
  <r>
    <n v="1350"/>
    <x v="132"/>
    <n v="4"/>
    <x v="1"/>
    <s v="123 4th Street"/>
    <x v="1"/>
    <x v="1"/>
    <n v="99999"/>
    <s v="USA"/>
    <x v="1"/>
    <x v="1"/>
    <d v="2014-11-06T00:00:00"/>
    <x v="1"/>
    <s v="Christina Lee"/>
    <s v="123 4th Street"/>
    <x v="1"/>
    <s v="NY"/>
    <n v="99999"/>
    <s v="USA"/>
    <s v="Credit Card"/>
    <x v="23"/>
    <x v="6"/>
    <n v="81"/>
    <n v="52"/>
    <x v="265"/>
    <n v="412.77600000000001"/>
  </r>
  <r>
    <n v="1351"/>
    <x v="132"/>
    <n v="4"/>
    <x v="1"/>
    <s v="123 4th Street"/>
    <x v="1"/>
    <x v="1"/>
    <n v="99999"/>
    <s v="USA"/>
    <x v="1"/>
    <x v="1"/>
    <d v="2014-11-06T00:00:00"/>
    <x v="1"/>
    <s v="Christina Lee"/>
    <s v="123 4th Street"/>
    <x v="1"/>
    <s v="NY"/>
    <n v="99999"/>
    <s v="USA"/>
    <s v="Credit Card"/>
    <x v="24"/>
    <x v="14"/>
    <n v="7"/>
    <n v="37"/>
    <x v="58"/>
    <n v="25.382000000000001"/>
  </r>
  <r>
    <n v="1353"/>
    <x v="128"/>
    <n v="8"/>
    <x v="3"/>
    <s v="123 8th Street"/>
    <x v="2"/>
    <x v="2"/>
    <n v="99999"/>
    <s v="USA"/>
    <x v="2"/>
    <x v="2"/>
    <d v="2014-11-10T00:00:00"/>
    <x v="2"/>
    <s v="Elizabeth Andersen"/>
    <s v="123 8th Street"/>
    <x v="2"/>
    <s v="OR"/>
    <n v="99999"/>
    <s v="USA"/>
    <s v="Credit Card"/>
    <x v="15"/>
    <x v="10"/>
    <n v="34.799999999999997"/>
    <n v="24"/>
    <x v="266"/>
    <n v="80.179199999999994"/>
  </r>
  <r>
    <n v="1356"/>
    <x v="133"/>
    <n v="3"/>
    <x v="5"/>
    <s v="123 3rd Street"/>
    <x v="4"/>
    <x v="4"/>
    <n v="99999"/>
    <s v="USA"/>
    <x v="0"/>
    <x v="0"/>
    <d v="2014-11-05T00:00:00"/>
    <x v="0"/>
    <s v="Thomas Axerr"/>
    <s v="123 3rd Street"/>
    <x v="4"/>
    <s v="CA"/>
    <n v="99999"/>
    <s v="USA"/>
    <s v="Cash"/>
    <x v="16"/>
    <x v="7"/>
    <n v="10"/>
    <n v="36"/>
    <x v="267"/>
    <n v="37.08"/>
  </r>
  <r>
    <n v="1357"/>
    <x v="133"/>
    <n v="3"/>
    <x v="5"/>
    <s v="123 3rd Street"/>
    <x v="4"/>
    <x v="4"/>
    <n v="99999"/>
    <s v="USA"/>
    <x v="0"/>
    <x v="0"/>
    <d v="2014-11-05T00:00:00"/>
    <x v="0"/>
    <s v="Thomas Axerr"/>
    <s v="123 3rd Street"/>
    <x v="4"/>
    <s v="CA"/>
    <n v="99999"/>
    <s v="USA"/>
    <s v="Cash"/>
    <x v="9"/>
    <x v="5"/>
    <n v="40"/>
    <n v="24"/>
    <x v="268"/>
    <n v="96"/>
  </r>
  <r>
    <n v="1361"/>
    <x v="122"/>
    <n v="10"/>
    <x v="8"/>
    <s v="123 10th Street"/>
    <x v="7"/>
    <x v="7"/>
    <n v="99999"/>
    <s v="USA"/>
    <x v="6"/>
    <x v="1"/>
    <d v="2014-11-12T00:00:00"/>
    <x v="0"/>
    <s v="Roland Wacker"/>
    <s v="123 10th Street"/>
    <x v="7"/>
    <s v="IL"/>
    <n v="99999"/>
    <s v="USA"/>
    <s v="Credit Card"/>
    <x v="18"/>
    <x v="1"/>
    <n v="10"/>
    <n v="20"/>
    <x v="269"/>
    <n v="20"/>
  </r>
  <r>
    <n v="1363"/>
    <x v="122"/>
    <n v="10"/>
    <x v="8"/>
    <s v="123 10th Street"/>
    <x v="7"/>
    <x v="7"/>
    <n v="99999"/>
    <s v="USA"/>
    <x v="6"/>
    <x v="1"/>
    <m/>
    <x v="1"/>
    <s v="Roland Wacker"/>
    <s v="123 10th Street"/>
    <x v="7"/>
    <s v="IL"/>
    <n v="99999"/>
    <s v="USA"/>
    <m/>
    <x v="1"/>
    <x v="1"/>
    <n v="3.5"/>
    <n v="11"/>
    <x v="4"/>
    <n v="3.7345000000000002"/>
  </r>
  <r>
    <n v="1364"/>
    <x v="123"/>
    <n v="11"/>
    <x v="10"/>
    <s v="123 11th Street"/>
    <x v="9"/>
    <x v="9"/>
    <n v="99999"/>
    <s v="USA"/>
    <x v="5"/>
    <x v="3"/>
    <m/>
    <x v="2"/>
    <s v="Peter Krschne"/>
    <s v="123 11th Street"/>
    <x v="9"/>
    <s v="FL"/>
    <n v="99999"/>
    <s v="USA"/>
    <m/>
    <x v="9"/>
    <x v="5"/>
    <n v="40"/>
    <n v="78"/>
    <x v="189"/>
    <n v="299.52"/>
  </r>
  <r>
    <n v="1365"/>
    <x v="124"/>
    <n v="1"/>
    <x v="11"/>
    <s v="123 1st Street"/>
    <x v="10"/>
    <x v="10"/>
    <n v="99999"/>
    <s v="USA"/>
    <x v="2"/>
    <x v="2"/>
    <m/>
    <x v="2"/>
    <s v="Anna Bedecs"/>
    <s v="123 1st Street"/>
    <x v="10"/>
    <s v="WA"/>
    <n v="99999"/>
    <s v="USA"/>
    <m/>
    <x v="13"/>
    <x v="8"/>
    <n v="18.399999999999999"/>
    <n v="76"/>
    <x v="270"/>
    <n v="144.0352"/>
  </r>
  <r>
    <n v="1366"/>
    <x v="125"/>
    <n v="28"/>
    <x v="7"/>
    <s v="789 28th Street"/>
    <x v="6"/>
    <x v="6"/>
    <n v="99999"/>
    <s v="USA"/>
    <x v="5"/>
    <x v="3"/>
    <d v="2014-11-30T00:00:00"/>
    <x v="2"/>
    <s v="Amritansh Raghav"/>
    <s v="789 28th Street"/>
    <x v="6"/>
    <s v="TN"/>
    <n v="99999"/>
    <s v="USA"/>
    <s v="Credit Card"/>
    <x v="5"/>
    <x v="0"/>
    <n v="46"/>
    <n v="57"/>
    <x v="271"/>
    <n v="272.68799999999999"/>
  </r>
  <r>
    <n v="1367"/>
    <x v="126"/>
    <n v="9"/>
    <x v="12"/>
    <s v="123 9th Street"/>
    <x v="11"/>
    <x v="11"/>
    <n v="99999"/>
    <s v="USA"/>
    <x v="7"/>
    <x v="0"/>
    <d v="2014-11-11T00:00:00"/>
    <x v="1"/>
    <s v="Sven Mortensen"/>
    <s v="123 9th Street"/>
    <x v="11"/>
    <s v="UT"/>
    <n v="99999"/>
    <s v="USA"/>
    <s v="Check"/>
    <x v="8"/>
    <x v="4"/>
    <n v="9.65"/>
    <n v="14"/>
    <x v="272"/>
    <n v="12.9696"/>
  </r>
  <r>
    <n v="1368"/>
    <x v="134"/>
    <n v="27"/>
    <x v="0"/>
    <s v="789 27th Street"/>
    <x v="0"/>
    <x v="0"/>
    <n v="99999"/>
    <s v="USA"/>
    <x v="0"/>
    <x v="0"/>
    <d v="2014-12-29T00:00:00"/>
    <x v="0"/>
    <s v="Karen Toh"/>
    <s v="789 27th Street"/>
    <x v="0"/>
    <s v="NV"/>
    <n v="99999"/>
    <s v="USA"/>
    <s v="Check"/>
    <x v="0"/>
    <x v="0"/>
    <n v="14"/>
    <n v="14"/>
    <x v="273"/>
    <n v="19.796000000000003"/>
  </r>
  <r>
    <n v="1369"/>
    <x v="134"/>
    <n v="27"/>
    <x v="0"/>
    <s v="789 27th Street"/>
    <x v="0"/>
    <x v="0"/>
    <n v="99999"/>
    <s v="USA"/>
    <x v="0"/>
    <x v="0"/>
    <d v="2014-12-29T00:00:00"/>
    <x v="0"/>
    <s v="Karen Toh"/>
    <s v="789 27th Street"/>
    <x v="0"/>
    <s v="NV"/>
    <n v="99999"/>
    <s v="USA"/>
    <s v="Check"/>
    <x v="1"/>
    <x v="1"/>
    <n v="3.5"/>
    <n v="70"/>
    <x v="274"/>
    <n v="25.234999999999999"/>
  </r>
  <r>
    <n v="1370"/>
    <x v="135"/>
    <n v="4"/>
    <x v="1"/>
    <s v="123 4th Street"/>
    <x v="1"/>
    <x v="1"/>
    <n v="99999"/>
    <s v="USA"/>
    <x v="1"/>
    <x v="1"/>
    <d v="2014-12-06T00:00:00"/>
    <x v="1"/>
    <s v="Christina Lee"/>
    <s v="123 4th Street"/>
    <x v="1"/>
    <s v="NY"/>
    <n v="99999"/>
    <s v="USA"/>
    <s v="Credit Card"/>
    <x v="2"/>
    <x v="1"/>
    <n v="30"/>
    <n v="100"/>
    <x v="275"/>
    <n v="291"/>
  </r>
  <r>
    <n v="1371"/>
    <x v="135"/>
    <n v="4"/>
    <x v="1"/>
    <s v="123 4th Street"/>
    <x v="1"/>
    <x v="1"/>
    <n v="99999"/>
    <s v="USA"/>
    <x v="1"/>
    <x v="1"/>
    <d v="2014-12-06T00:00:00"/>
    <x v="1"/>
    <s v="Christina Lee"/>
    <s v="123 4th Street"/>
    <x v="1"/>
    <s v="NY"/>
    <n v="99999"/>
    <s v="USA"/>
    <s v="Credit Card"/>
    <x v="3"/>
    <x v="1"/>
    <n v="53"/>
    <n v="27"/>
    <x v="276"/>
    <n v="143.1"/>
  </r>
  <r>
    <n v="1372"/>
    <x v="135"/>
    <n v="4"/>
    <x v="1"/>
    <s v="123 4th Street"/>
    <x v="1"/>
    <x v="1"/>
    <n v="99999"/>
    <s v="USA"/>
    <x v="1"/>
    <x v="1"/>
    <d v="2014-12-06T00:00:00"/>
    <x v="1"/>
    <s v="Christina Lee"/>
    <s v="123 4th Street"/>
    <x v="1"/>
    <s v="NY"/>
    <n v="99999"/>
    <s v="USA"/>
    <s v="Credit Card"/>
    <x v="1"/>
    <x v="1"/>
    <n v="3.5"/>
    <n v="70"/>
    <x v="274"/>
    <n v="24.009999999999998"/>
  </r>
  <r>
    <n v="1373"/>
    <x v="136"/>
    <n v="12"/>
    <x v="2"/>
    <s v="123 12th Street"/>
    <x v="0"/>
    <x v="0"/>
    <n v="99999"/>
    <s v="USA"/>
    <x v="0"/>
    <x v="0"/>
    <d v="2014-12-14T00:00:00"/>
    <x v="0"/>
    <s v="John Edwards"/>
    <s v="123 12th Street"/>
    <x v="0"/>
    <s v="NV"/>
    <n v="99999"/>
    <s v="USA"/>
    <s v="Credit Card"/>
    <x v="4"/>
    <x v="0"/>
    <n v="18"/>
    <n v="57"/>
    <x v="277"/>
    <n v="102.60000000000001"/>
  </r>
  <r>
    <n v="1374"/>
    <x v="136"/>
    <n v="12"/>
    <x v="2"/>
    <s v="123 12th Street"/>
    <x v="0"/>
    <x v="0"/>
    <n v="99999"/>
    <s v="USA"/>
    <x v="0"/>
    <x v="0"/>
    <d v="2014-12-14T00:00:00"/>
    <x v="0"/>
    <s v="John Edwards"/>
    <s v="123 12th Street"/>
    <x v="0"/>
    <s v="NV"/>
    <n v="99999"/>
    <s v="USA"/>
    <s v="Credit Card"/>
    <x v="5"/>
    <x v="0"/>
    <n v="46"/>
    <n v="83"/>
    <x v="278"/>
    <n v="374.16399999999999"/>
  </r>
  <r>
    <n v="1375"/>
    <x v="137"/>
    <n v="8"/>
    <x v="3"/>
    <s v="123 8th Street"/>
    <x v="2"/>
    <x v="2"/>
    <n v="99999"/>
    <s v="USA"/>
    <x v="2"/>
    <x v="2"/>
    <d v="2014-12-10T00:00:00"/>
    <x v="2"/>
    <s v="Elizabeth Andersen"/>
    <s v="123 8th Street"/>
    <x v="2"/>
    <s v="OR"/>
    <n v="99999"/>
    <s v="USA"/>
    <s v="Credit Card"/>
    <x v="6"/>
    <x v="2"/>
    <n v="9.1999999999999993"/>
    <n v="76"/>
    <x v="279"/>
    <n v="67.123199999999997"/>
  </r>
  <r>
    <n v="1376"/>
    <x v="135"/>
    <n v="4"/>
    <x v="1"/>
    <s v="123 4th Street"/>
    <x v="1"/>
    <x v="1"/>
    <n v="99999"/>
    <s v="USA"/>
    <x v="1"/>
    <x v="1"/>
    <n v="41979"/>
    <x v="2"/>
    <s v="Christina Lee"/>
    <s v="123 4th Street"/>
    <x v="1"/>
    <s v="NY"/>
    <n v="99999"/>
    <s v="USA"/>
    <s v="Check"/>
    <x v="6"/>
    <x v="2"/>
    <n v="9.1999999999999993"/>
    <n v="80"/>
    <x v="129"/>
    <n v="72.864000000000004"/>
  </r>
  <r>
    <n v="1377"/>
    <x v="138"/>
    <n v="29"/>
    <x v="4"/>
    <s v="789 29th Street"/>
    <x v="3"/>
    <x v="3"/>
    <n v="99999"/>
    <s v="USA"/>
    <x v="3"/>
    <x v="0"/>
    <n v="42004"/>
    <x v="0"/>
    <s v="Soo Jung Lee"/>
    <s v="789 29th Street"/>
    <x v="3"/>
    <s v="CO"/>
    <n v="99999"/>
    <s v="USA"/>
    <s v="Check"/>
    <x v="7"/>
    <x v="3"/>
    <n v="12.75"/>
    <n v="47"/>
    <x v="13"/>
    <n v="59.325750000000006"/>
  </r>
  <r>
    <n v="1378"/>
    <x v="139"/>
    <n v="3"/>
    <x v="5"/>
    <s v="123 3rd Street"/>
    <x v="4"/>
    <x v="4"/>
    <n v="99999"/>
    <s v="USA"/>
    <x v="0"/>
    <x v="0"/>
    <n v="41978"/>
    <x v="0"/>
    <s v="Thomas Axerr"/>
    <s v="123 3rd Street"/>
    <x v="4"/>
    <s v="CA"/>
    <n v="99999"/>
    <s v="USA"/>
    <s v="Cash"/>
    <x v="8"/>
    <x v="4"/>
    <n v="9.65"/>
    <n v="96"/>
    <x v="280"/>
    <n v="94.492800000000017"/>
  </r>
  <r>
    <n v="1379"/>
    <x v="140"/>
    <n v="6"/>
    <x v="6"/>
    <s v="123 6th Street"/>
    <x v="5"/>
    <x v="5"/>
    <n v="99999"/>
    <s v="USA"/>
    <x v="4"/>
    <x v="2"/>
    <n v="41981"/>
    <x v="0"/>
    <s v="Francisco Pérez-Olaeta"/>
    <s v="123 6th Street"/>
    <x v="5"/>
    <s v="WI"/>
    <n v="99999"/>
    <s v="USA"/>
    <s v="Credit Card"/>
    <x v="9"/>
    <x v="5"/>
    <n v="40"/>
    <n v="32"/>
    <x v="11"/>
    <n v="134.4"/>
  </r>
  <r>
    <n v="1380"/>
    <x v="141"/>
    <n v="28"/>
    <x v="7"/>
    <s v="789 28th Street"/>
    <x v="6"/>
    <x v="6"/>
    <n v="99999"/>
    <s v="USA"/>
    <x v="5"/>
    <x v="3"/>
    <d v="2014-12-30T00:00:00"/>
    <x v="2"/>
    <s v="Amritansh Raghav"/>
    <s v="789 28th Street"/>
    <x v="6"/>
    <s v="TN"/>
    <n v="99999"/>
    <s v="USA"/>
    <s v="Check"/>
    <x v="5"/>
    <x v="0"/>
    <n v="46"/>
    <n v="16"/>
    <x v="129"/>
    <n v="73.600000000000009"/>
  </r>
  <r>
    <n v="1381"/>
    <x v="137"/>
    <n v="8"/>
    <x v="3"/>
    <s v="123 8th Street"/>
    <x v="2"/>
    <x v="2"/>
    <n v="99999"/>
    <s v="USA"/>
    <x v="2"/>
    <x v="2"/>
    <d v="2014-12-10T00:00:00"/>
    <x v="2"/>
    <s v="Elizabeth Andersen"/>
    <s v="123 8th Street"/>
    <x v="2"/>
    <s v="OR"/>
    <n v="99999"/>
    <s v="USA"/>
    <s v="Check"/>
    <x v="7"/>
    <x v="3"/>
    <n v="12.75"/>
    <n v="41"/>
    <x v="87"/>
    <n v="51.229500000000002"/>
  </r>
  <r>
    <n v="1382"/>
    <x v="142"/>
    <n v="10"/>
    <x v="8"/>
    <s v="123 10th Street"/>
    <x v="7"/>
    <x v="7"/>
    <n v="99999"/>
    <s v="USA"/>
    <x v="6"/>
    <x v="1"/>
    <d v="2014-12-12T00:00:00"/>
    <x v="0"/>
    <s v="Roland Wacker"/>
    <s v="123 10th Street"/>
    <x v="7"/>
    <s v="IL"/>
    <n v="99999"/>
    <s v="USA"/>
    <s v="Credit Card"/>
    <x v="10"/>
    <x v="0"/>
    <n v="2.99"/>
    <n v="41"/>
    <x v="281"/>
    <n v="12.871950000000002"/>
  </r>
  <r>
    <n v="1383"/>
    <x v="143"/>
    <n v="7"/>
    <x v="9"/>
    <s v="123 7th Street"/>
    <x v="8"/>
    <x v="8"/>
    <n v="99999"/>
    <s v="USA"/>
    <x v="2"/>
    <x v="2"/>
    <m/>
    <x v="3"/>
    <s v="Ming-Yang Xie"/>
    <s v="123 7th Street"/>
    <x v="8"/>
    <s v="ID"/>
    <n v="99999"/>
    <s v="USA"/>
    <m/>
    <x v="5"/>
    <x v="0"/>
    <n v="46"/>
    <n v="41"/>
    <x v="282"/>
    <n v="194.25800000000004"/>
  </r>
  <r>
    <n v="1384"/>
    <x v="142"/>
    <n v="10"/>
    <x v="8"/>
    <s v="123 10th Street"/>
    <x v="7"/>
    <x v="7"/>
    <n v="99999"/>
    <s v="USA"/>
    <x v="6"/>
    <x v="1"/>
    <d v="2014-12-12T00:00:00"/>
    <x v="1"/>
    <s v="Roland Wacker"/>
    <s v="123 10th Street"/>
    <x v="7"/>
    <s v="IL"/>
    <n v="99999"/>
    <s v="USA"/>
    <m/>
    <x v="11"/>
    <x v="6"/>
    <n v="25"/>
    <n v="94"/>
    <x v="283"/>
    <n v="235"/>
  </r>
  <r>
    <n v="1385"/>
    <x v="142"/>
    <n v="10"/>
    <x v="8"/>
    <s v="123 10th Street"/>
    <x v="7"/>
    <x v="7"/>
    <n v="99999"/>
    <s v="USA"/>
    <x v="6"/>
    <x v="1"/>
    <d v="2014-12-12T00:00:00"/>
    <x v="1"/>
    <s v="Roland Wacker"/>
    <s v="123 10th Street"/>
    <x v="7"/>
    <s v="IL"/>
    <n v="99999"/>
    <s v="USA"/>
    <m/>
    <x v="12"/>
    <x v="7"/>
    <n v="22"/>
    <n v="20"/>
    <x v="284"/>
    <n v="46.2"/>
  </r>
  <r>
    <n v="1386"/>
    <x v="142"/>
    <n v="10"/>
    <x v="8"/>
    <s v="123 10th Street"/>
    <x v="7"/>
    <x v="7"/>
    <n v="99999"/>
    <s v="USA"/>
    <x v="6"/>
    <x v="1"/>
    <n v="41985"/>
    <x v="1"/>
    <s v="Roland Wacker"/>
    <s v="123 10th Street"/>
    <x v="7"/>
    <s v="IL"/>
    <n v="99999"/>
    <s v="USA"/>
    <m/>
    <x v="6"/>
    <x v="2"/>
    <n v="9.1999999999999993"/>
    <n v="13"/>
    <x v="285"/>
    <n v="12.438400000000001"/>
  </r>
  <r>
    <n v="1387"/>
    <x v="144"/>
    <n v="11"/>
    <x v="10"/>
    <s v="123 11th Street"/>
    <x v="9"/>
    <x v="9"/>
    <n v="99999"/>
    <s v="USA"/>
    <x v="5"/>
    <x v="3"/>
    <m/>
    <x v="2"/>
    <s v="Peter Krschne"/>
    <s v="123 11th Street"/>
    <x v="9"/>
    <s v="FL"/>
    <n v="99999"/>
    <s v="USA"/>
    <m/>
    <x v="1"/>
    <x v="1"/>
    <n v="3.5"/>
    <n v="74"/>
    <x v="58"/>
    <n v="26.936000000000003"/>
  </r>
  <r>
    <n v="1388"/>
    <x v="144"/>
    <n v="11"/>
    <x v="10"/>
    <s v="123 11th Street"/>
    <x v="9"/>
    <x v="9"/>
    <n v="99999"/>
    <s v="USA"/>
    <x v="5"/>
    <x v="3"/>
    <m/>
    <x v="2"/>
    <s v="Peter Krschne"/>
    <s v="123 11th Street"/>
    <x v="9"/>
    <s v="FL"/>
    <n v="99999"/>
    <s v="USA"/>
    <m/>
    <x v="10"/>
    <x v="0"/>
    <n v="2.99"/>
    <n v="53"/>
    <x v="286"/>
    <n v="16.005470000000003"/>
  </r>
  <r>
    <n v="1389"/>
    <x v="145"/>
    <n v="1"/>
    <x v="11"/>
    <s v="123 1st Street"/>
    <x v="10"/>
    <x v="10"/>
    <n v="99999"/>
    <s v="USA"/>
    <x v="2"/>
    <x v="2"/>
    <m/>
    <x v="3"/>
    <s v="Anna Bedecs"/>
    <s v="123 1st Street"/>
    <x v="10"/>
    <s v="WA"/>
    <n v="99999"/>
    <s v="USA"/>
    <m/>
    <x v="4"/>
    <x v="0"/>
    <n v="18"/>
    <n v="99"/>
    <x v="287"/>
    <n v="174.63600000000002"/>
  </r>
  <r>
    <n v="1390"/>
    <x v="145"/>
    <n v="1"/>
    <x v="11"/>
    <s v="123 1st Street"/>
    <x v="10"/>
    <x v="10"/>
    <n v="99999"/>
    <s v="USA"/>
    <x v="2"/>
    <x v="2"/>
    <m/>
    <x v="3"/>
    <s v="Anna Bedecs"/>
    <s v="123 1st Street"/>
    <x v="10"/>
    <s v="WA"/>
    <n v="99999"/>
    <s v="USA"/>
    <m/>
    <x v="5"/>
    <x v="0"/>
    <n v="46"/>
    <n v="89"/>
    <x v="288"/>
    <n v="388.93"/>
  </r>
  <r>
    <n v="1391"/>
    <x v="145"/>
    <n v="1"/>
    <x v="11"/>
    <s v="123 1st Street"/>
    <x v="10"/>
    <x v="10"/>
    <n v="99999"/>
    <s v="USA"/>
    <x v="2"/>
    <x v="2"/>
    <m/>
    <x v="3"/>
    <s v="Anna Bedecs"/>
    <s v="123 1st Street"/>
    <x v="10"/>
    <s v="WA"/>
    <n v="99999"/>
    <s v="USA"/>
    <m/>
    <x v="10"/>
    <x v="0"/>
    <n v="2.99"/>
    <n v="64"/>
    <x v="200"/>
    <n v="19.518720000000002"/>
  </r>
  <r>
    <n v="1392"/>
    <x v="141"/>
    <n v="28"/>
    <x v="7"/>
    <s v="789 28th Street"/>
    <x v="6"/>
    <x v="6"/>
    <n v="99999"/>
    <s v="USA"/>
    <x v="5"/>
    <x v="3"/>
    <d v="2014-12-30T00:00:00"/>
    <x v="2"/>
    <s v="Amritansh Raghav"/>
    <s v="789 28th Street"/>
    <x v="6"/>
    <s v="TN"/>
    <n v="99999"/>
    <s v="USA"/>
    <s v="Credit Card"/>
    <x v="8"/>
    <x v="4"/>
    <n v="9.65"/>
    <n v="98"/>
    <x v="289"/>
    <n v="96.461400000000012"/>
  </r>
  <r>
    <n v="1393"/>
    <x v="141"/>
    <n v="28"/>
    <x v="7"/>
    <s v="789 28th Street"/>
    <x v="6"/>
    <x v="6"/>
    <n v="99999"/>
    <s v="USA"/>
    <x v="5"/>
    <x v="3"/>
    <d v="2014-12-30T00:00:00"/>
    <x v="2"/>
    <s v="Amritansh Raghav"/>
    <s v="789 28th Street"/>
    <x v="6"/>
    <s v="TN"/>
    <n v="99999"/>
    <s v="USA"/>
    <s v="Credit Card"/>
    <x v="13"/>
    <x v="8"/>
    <n v="18.399999999999999"/>
    <n v="86"/>
    <x v="290"/>
    <n v="155.0752"/>
  </r>
  <r>
    <n v="1394"/>
    <x v="146"/>
    <n v="9"/>
    <x v="12"/>
    <s v="123 9th Street"/>
    <x v="11"/>
    <x v="11"/>
    <n v="99999"/>
    <s v="USA"/>
    <x v="7"/>
    <x v="0"/>
    <d v="2014-12-11T00:00:00"/>
    <x v="1"/>
    <s v="Sven Mortensen"/>
    <s v="123 9th Street"/>
    <x v="11"/>
    <s v="UT"/>
    <n v="99999"/>
    <s v="USA"/>
    <s v="Check"/>
    <x v="14"/>
    <x v="9"/>
    <n v="19.5"/>
    <n v="20"/>
    <x v="291"/>
    <n v="40.950000000000003"/>
  </r>
  <r>
    <n v="1395"/>
    <x v="146"/>
    <n v="9"/>
    <x v="12"/>
    <s v="123 9th Street"/>
    <x v="11"/>
    <x v="11"/>
    <n v="99999"/>
    <s v="USA"/>
    <x v="7"/>
    <x v="0"/>
    <d v="2014-12-11T00:00:00"/>
    <x v="1"/>
    <s v="Sven Mortensen"/>
    <s v="123 9th Street"/>
    <x v="11"/>
    <s v="UT"/>
    <n v="99999"/>
    <s v="USA"/>
    <s v="Check"/>
    <x v="15"/>
    <x v="10"/>
    <n v="34.799999999999997"/>
    <n v="69"/>
    <x v="292"/>
    <n v="240.12"/>
  </r>
  <r>
    <n v="1396"/>
    <x v="140"/>
    <n v="6"/>
    <x v="6"/>
    <s v="123 6th Street"/>
    <x v="5"/>
    <x v="5"/>
    <n v="99999"/>
    <s v="USA"/>
    <x v="4"/>
    <x v="2"/>
    <d v="2014-12-08T00:00:00"/>
    <x v="0"/>
    <s v="Francisco Pérez-Olaeta"/>
    <s v="123 6th Street"/>
    <x v="5"/>
    <s v="WI"/>
    <n v="99999"/>
    <s v="USA"/>
    <s v="Credit Card"/>
    <x v="0"/>
    <x v="0"/>
    <n v="14"/>
    <n v="68"/>
    <x v="293"/>
    <n v="91.391999999999996"/>
  </r>
  <r>
    <n v="1397"/>
    <x v="137"/>
    <n v="8"/>
    <x v="3"/>
    <s v="123 8th Street"/>
    <x v="2"/>
    <x v="2"/>
    <n v="99999"/>
    <s v="USA"/>
    <x v="2"/>
    <x v="2"/>
    <d v="2014-12-10T00:00:00"/>
    <x v="0"/>
    <s v="Elizabeth Andersen"/>
    <s v="123 8th Street"/>
    <x v="2"/>
    <s v="OR"/>
    <n v="99999"/>
    <s v="USA"/>
    <s v="Check"/>
    <x v="9"/>
    <x v="5"/>
    <n v="40"/>
    <n v="52"/>
    <x v="294"/>
    <n v="203.84"/>
  </r>
  <r>
    <n v="1398"/>
    <x v="137"/>
    <n v="8"/>
    <x v="3"/>
    <s v="123 8th Street"/>
    <x v="2"/>
    <x v="2"/>
    <n v="99999"/>
    <s v="USA"/>
    <x v="2"/>
    <x v="2"/>
    <d v="2014-12-10T00:00:00"/>
    <x v="0"/>
    <s v="Elizabeth Andersen"/>
    <s v="123 8th Street"/>
    <x v="2"/>
    <s v="OR"/>
    <n v="99999"/>
    <s v="USA"/>
    <s v="Check"/>
    <x v="6"/>
    <x v="2"/>
    <n v="9.1999999999999993"/>
    <n v="40"/>
    <x v="295"/>
    <n v="38.640000000000008"/>
  </r>
  <r>
    <n v="1399"/>
    <x v="147"/>
    <n v="25"/>
    <x v="13"/>
    <s v="789 25th Street"/>
    <x v="7"/>
    <x v="7"/>
    <n v="99999"/>
    <s v="USA"/>
    <x v="6"/>
    <x v="1"/>
    <d v="2014-12-27T00:00:00"/>
    <x v="1"/>
    <s v="John Rodman"/>
    <s v="789 25th Street"/>
    <x v="7"/>
    <s v="IL"/>
    <n v="99999"/>
    <s v="USA"/>
    <s v="Cash"/>
    <x v="21"/>
    <x v="2"/>
    <n v="10"/>
    <n v="100"/>
    <x v="116"/>
    <n v="98"/>
  </r>
  <r>
    <n v="1400"/>
    <x v="148"/>
    <n v="26"/>
    <x v="14"/>
    <s v="789 26th Street"/>
    <x v="9"/>
    <x v="9"/>
    <n v="99999"/>
    <s v="USA"/>
    <x v="5"/>
    <x v="3"/>
    <d v="2014-12-28T00:00:00"/>
    <x v="2"/>
    <s v="Run Liu"/>
    <s v="789 26th Street"/>
    <x v="9"/>
    <s v="FL"/>
    <n v="99999"/>
    <s v="USA"/>
    <s v="Credit Card"/>
    <x v="22"/>
    <x v="13"/>
    <n v="21.35"/>
    <n v="88"/>
    <x v="296"/>
    <n v="184.12240000000003"/>
  </r>
  <r>
    <n v="1401"/>
    <x v="148"/>
    <n v="26"/>
    <x v="14"/>
    <s v="789 26th Street"/>
    <x v="9"/>
    <x v="9"/>
    <n v="99999"/>
    <s v="USA"/>
    <x v="5"/>
    <x v="3"/>
    <d v="2014-12-28T00:00:00"/>
    <x v="2"/>
    <s v="Run Liu"/>
    <s v="789 26th Street"/>
    <x v="9"/>
    <s v="FL"/>
    <n v="99999"/>
    <s v="USA"/>
    <s v="Credit Card"/>
    <x v="8"/>
    <x v="4"/>
    <n v="9.65"/>
    <n v="46"/>
    <x v="256"/>
    <n v="42.614400000000003"/>
  </r>
  <r>
    <n v="1402"/>
    <x v="148"/>
    <n v="26"/>
    <x v="14"/>
    <s v="789 26th Street"/>
    <x v="9"/>
    <x v="9"/>
    <n v="99999"/>
    <s v="USA"/>
    <x v="5"/>
    <x v="3"/>
    <d v="2014-12-28T00:00:00"/>
    <x v="2"/>
    <s v="Run Liu"/>
    <s v="789 26th Street"/>
    <x v="9"/>
    <s v="FL"/>
    <n v="99999"/>
    <s v="USA"/>
    <s v="Credit Card"/>
    <x v="13"/>
    <x v="8"/>
    <n v="18.399999999999999"/>
    <n v="93"/>
    <x v="297"/>
    <n v="167.69759999999999"/>
  </r>
  <r>
    <n v="1403"/>
    <x v="138"/>
    <n v="29"/>
    <x v="4"/>
    <s v="789 29th Street"/>
    <x v="3"/>
    <x v="3"/>
    <n v="99999"/>
    <s v="USA"/>
    <x v="3"/>
    <x v="0"/>
    <d v="2014-12-31T00:00:00"/>
    <x v="0"/>
    <s v="Soo Jung Lee"/>
    <s v="789 29th Street"/>
    <x v="3"/>
    <s v="CO"/>
    <n v="99999"/>
    <s v="USA"/>
    <s v="Check"/>
    <x v="0"/>
    <x v="0"/>
    <n v="14"/>
    <n v="96"/>
    <x v="298"/>
    <n v="141.12"/>
  </r>
  <r>
    <n v="1404"/>
    <x v="140"/>
    <n v="6"/>
    <x v="6"/>
    <s v="123 6th Street"/>
    <x v="5"/>
    <x v="5"/>
    <n v="99999"/>
    <s v="USA"/>
    <x v="4"/>
    <x v="2"/>
    <d v="2014-12-08T00:00:00"/>
    <x v="2"/>
    <s v="Francisco Pérez-Olaeta"/>
    <s v="123 6th Street"/>
    <x v="5"/>
    <s v="WI"/>
    <n v="99999"/>
    <s v="USA"/>
    <s v="Check"/>
    <x v="7"/>
    <x v="3"/>
    <n v="12.75"/>
    <n v="12"/>
    <x v="299"/>
    <n v="16.065000000000001"/>
  </r>
  <r>
    <n v="1406"/>
    <x v="135"/>
    <n v="4"/>
    <x v="1"/>
    <s v="123 4th Street"/>
    <x v="1"/>
    <x v="1"/>
    <n v="99999"/>
    <s v="USA"/>
    <x v="1"/>
    <x v="1"/>
    <d v="2014-12-06T00:00:00"/>
    <x v="1"/>
    <s v="Christina Lee"/>
    <s v="123 4th Street"/>
    <x v="1"/>
    <s v="NY"/>
    <n v="99999"/>
    <s v="USA"/>
    <s v="Credit Card"/>
    <x v="23"/>
    <x v="6"/>
    <n v="81"/>
    <n v="38"/>
    <x v="300"/>
    <n v="292.41000000000003"/>
  </r>
  <r>
    <n v="1407"/>
    <x v="135"/>
    <n v="4"/>
    <x v="1"/>
    <s v="123 4th Street"/>
    <x v="1"/>
    <x v="1"/>
    <n v="99999"/>
    <s v="USA"/>
    <x v="1"/>
    <x v="1"/>
    <d v="2014-12-06T00:00:00"/>
    <x v="1"/>
    <s v="Christina Lee"/>
    <s v="123 4th Street"/>
    <x v="1"/>
    <s v="NY"/>
    <n v="99999"/>
    <s v="USA"/>
    <s v="Credit Card"/>
    <x v="24"/>
    <x v="14"/>
    <n v="7"/>
    <n v="42"/>
    <x v="108"/>
    <n v="29.106000000000002"/>
  </r>
  <r>
    <n v="1409"/>
    <x v="137"/>
    <n v="8"/>
    <x v="3"/>
    <s v="123 8th Street"/>
    <x v="2"/>
    <x v="2"/>
    <n v="99999"/>
    <s v="USA"/>
    <x v="2"/>
    <x v="2"/>
    <d v="2014-12-10T00:00:00"/>
    <x v="2"/>
    <s v="Elizabeth Andersen"/>
    <s v="123 8th Street"/>
    <x v="2"/>
    <s v="OR"/>
    <n v="99999"/>
    <s v="USA"/>
    <s v="Credit Card"/>
    <x v="15"/>
    <x v="10"/>
    <n v="34.799999999999997"/>
    <n v="100"/>
    <x v="301"/>
    <n v="344.52"/>
  </r>
  <r>
    <n v="1412"/>
    <x v="139"/>
    <n v="3"/>
    <x v="5"/>
    <s v="123 3rd Street"/>
    <x v="4"/>
    <x v="4"/>
    <n v="99999"/>
    <s v="USA"/>
    <x v="0"/>
    <x v="0"/>
    <d v="2014-12-05T00:00:00"/>
    <x v="0"/>
    <s v="Thomas Axerr"/>
    <s v="123 3rd Street"/>
    <x v="4"/>
    <s v="CA"/>
    <n v="99999"/>
    <s v="USA"/>
    <s v="Cash"/>
    <x v="16"/>
    <x v="7"/>
    <n v="10"/>
    <n v="89"/>
    <x v="302"/>
    <n v="87.22"/>
  </r>
  <r>
    <n v="1413"/>
    <x v="139"/>
    <n v="3"/>
    <x v="5"/>
    <s v="123 3rd Street"/>
    <x v="4"/>
    <x v="4"/>
    <n v="99999"/>
    <s v="USA"/>
    <x v="0"/>
    <x v="0"/>
    <d v="2014-12-05T00:00:00"/>
    <x v="0"/>
    <s v="Thomas Axerr"/>
    <s v="123 3rd Street"/>
    <x v="4"/>
    <s v="CA"/>
    <n v="99999"/>
    <s v="USA"/>
    <s v="Cash"/>
    <x v="9"/>
    <x v="5"/>
    <n v="40"/>
    <n v="12"/>
    <x v="60"/>
    <n v="46.56"/>
  </r>
  <r>
    <n v="1417"/>
    <x v="142"/>
    <n v="10"/>
    <x v="8"/>
    <s v="123 10th Street"/>
    <x v="7"/>
    <x v="7"/>
    <n v="99999"/>
    <s v="USA"/>
    <x v="6"/>
    <x v="1"/>
    <d v="2014-12-12T00:00:00"/>
    <x v="0"/>
    <s v="Roland Wacker"/>
    <s v="123 10th Street"/>
    <x v="7"/>
    <s v="IL"/>
    <n v="99999"/>
    <s v="USA"/>
    <s v="Credit Card"/>
    <x v="18"/>
    <x v="1"/>
    <n v="10"/>
    <n v="97"/>
    <x v="303"/>
    <n v="100.88000000000001"/>
  </r>
  <r>
    <n v="1419"/>
    <x v="142"/>
    <n v="10"/>
    <x v="8"/>
    <s v="123 10th Street"/>
    <x v="7"/>
    <x v="7"/>
    <n v="99999"/>
    <s v="USA"/>
    <x v="6"/>
    <x v="1"/>
    <m/>
    <x v="1"/>
    <s v="Roland Wacker"/>
    <s v="123 10th Street"/>
    <x v="7"/>
    <s v="IL"/>
    <n v="99999"/>
    <s v="USA"/>
    <m/>
    <x v="1"/>
    <x v="1"/>
    <n v="3.5"/>
    <n v="53"/>
    <x v="304"/>
    <n v="17.622499999999999"/>
  </r>
  <r>
    <n v="1420"/>
    <x v="144"/>
    <n v="11"/>
    <x v="10"/>
    <s v="123 11th Street"/>
    <x v="9"/>
    <x v="9"/>
    <n v="99999"/>
    <s v="USA"/>
    <x v="5"/>
    <x v="3"/>
    <m/>
    <x v="2"/>
    <s v="Peter Krschne"/>
    <s v="123 11th Street"/>
    <x v="9"/>
    <s v="FL"/>
    <n v="99999"/>
    <s v="USA"/>
    <m/>
    <x v="9"/>
    <x v="5"/>
    <n v="40"/>
    <n v="61"/>
    <x v="305"/>
    <n v="248.88"/>
  </r>
  <r>
    <n v="1421"/>
    <x v="145"/>
    <n v="1"/>
    <x v="11"/>
    <s v="123 1st Street"/>
    <x v="10"/>
    <x v="10"/>
    <n v="99999"/>
    <s v="USA"/>
    <x v="2"/>
    <x v="2"/>
    <m/>
    <x v="2"/>
    <s v="Anna Bedecs"/>
    <s v="123 1st Street"/>
    <x v="10"/>
    <s v="WA"/>
    <n v="99999"/>
    <s v="USA"/>
    <m/>
    <x v="13"/>
    <x v="8"/>
    <n v="18.399999999999999"/>
    <n v="45"/>
    <x v="306"/>
    <n v="81.143999999999991"/>
  </r>
  <r>
    <n v="1422"/>
    <x v="141"/>
    <n v="28"/>
    <x v="7"/>
    <s v="789 28th Street"/>
    <x v="6"/>
    <x v="6"/>
    <n v="99999"/>
    <s v="USA"/>
    <x v="5"/>
    <x v="3"/>
    <d v="2014-12-30T00:00:00"/>
    <x v="2"/>
    <s v="Amritansh Raghav"/>
    <s v="789 28th Street"/>
    <x v="6"/>
    <s v="TN"/>
    <n v="99999"/>
    <s v="USA"/>
    <s v="Credit Card"/>
    <x v="5"/>
    <x v="0"/>
    <n v="46"/>
    <n v="43"/>
    <x v="307"/>
    <n v="197.8"/>
  </r>
  <r>
    <n v="1423"/>
    <x v="146"/>
    <n v="9"/>
    <x v="12"/>
    <s v="123 9th Street"/>
    <x v="11"/>
    <x v="11"/>
    <n v="99999"/>
    <s v="USA"/>
    <x v="7"/>
    <x v="0"/>
    <d v="2014-12-11T00:00:00"/>
    <x v="1"/>
    <s v="Sven Mortensen"/>
    <s v="123 9th Street"/>
    <x v="11"/>
    <s v="UT"/>
    <n v="99999"/>
    <s v="USA"/>
    <s v="Check"/>
    <x v="8"/>
    <x v="4"/>
    <n v="9.65"/>
    <n v="18"/>
    <x v="308"/>
    <n v="16.5015"/>
  </r>
  <r>
    <n v="1424"/>
    <x v="140"/>
    <n v="6"/>
    <x v="6"/>
    <s v="123 6th Street"/>
    <x v="5"/>
    <x v="5"/>
    <n v="99999"/>
    <s v="USA"/>
    <x v="4"/>
    <x v="2"/>
    <d v="2014-12-08T00:00:00"/>
    <x v="0"/>
    <s v="Francisco Pérez-Olaeta"/>
    <s v="123 6th Street"/>
    <x v="5"/>
    <s v="WI"/>
    <n v="99999"/>
    <s v="USA"/>
    <s v="Credit Card"/>
    <x v="7"/>
    <x v="3"/>
    <n v="12.75"/>
    <n v="41"/>
    <x v="87"/>
    <n v="50.706750000000007"/>
  </r>
  <r>
    <n v="1425"/>
    <x v="137"/>
    <n v="8"/>
    <x v="3"/>
    <s v="123 8th Street"/>
    <x v="2"/>
    <x v="2"/>
    <n v="99999"/>
    <s v="USA"/>
    <x v="2"/>
    <x v="2"/>
    <n v="41983"/>
    <x v="0"/>
    <s v="Elizabeth Andersen"/>
    <s v="123 8th Street"/>
    <x v="2"/>
    <s v="OR"/>
    <n v="99999"/>
    <s v="USA"/>
    <s v="Check"/>
    <x v="7"/>
    <x v="3"/>
    <n v="12.75"/>
    <n v="19"/>
    <x v="109"/>
    <n v="23.982750000000003"/>
  </r>
  <r>
    <n v="1426"/>
    <x v="147"/>
    <n v="25"/>
    <x v="13"/>
    <s v="789 25th Street"/>
    <x v="7"/>
    <x v="7"/>
    <n v="99999"/>
    <s v="USA"/>
    <x v="6"/>
    <x v="1"/>
    <n v="42000"/>
    <x v="1"/>
    <s v="John Rodman"/>
    <s v="789 25th Street"/>
    <x v="7"/>
    <s v="IL"/>
    <n v="99999"/>
    <s v="USA"/>
    <s v="Cash"/>
    <x v="12"/>
    <x v="7"/>
    <n v="22"/>
    <n v="65"/>
    <x v="309"/>
    <n v="138.71"/>
  </r>
  <r>
    <n v="1427"/>
    <x v="148"/>
    <n v="26"/>
    <x v="14"/>
    <s v="789 26th Street"/>
    <x v="9"/>
    <x v="9"/>
    <n v="99999"/>
    <s v="USA"/>
    <x v="5"/>
    <x v="3"/>
    <n v="42001"/>
    <x v="2"/>
    <s v="Run Liu"/>
    <s v="789 26th Street"/>
    <x v="9"/>
    <s v="FL"/>
    <n v="99999"/>
    <s v="USA"/>
    <s v="Credit Card"/>
    <x v="11"/>
    <x v="6"/>
    <n v="25"/>
    <n v="13"/>
    <x v="310"/>
    <n v="32.174999999999997"/>
  </r>
  <r>
    <n v="1428"/>
    <x v="138"/>
    <n v="29"/>
    <x v="4"/>
    <s v="789 29th Street"/>
    <x v="3"/>
    <x v="3"/>
    <n v="99999"/>
    <s v="USA"/>
    <x v="3"/>
    <x v="0"/>
    <n v="42004"/>
    <x v="0"/>
    <s v="Soo Jung Lee"/>
    <s v="789 29th Street"/>
    <x v="3"/>
    <s v="CO"/>
    <n v="99999"/>
    <s v="USA"/>
    <s v="Check"/>
    <x v="19"/>
    <x v="12"/>
    <n v="39"/>
    <n v="54"/>
    <x v="311"/>
    <n v="214.81200000000004"/>
  </r>
  <r>
    <n v="1429"/>
    <x v="140"/>
    <n v="6"/>
    <x v="6"/>
    <s v="123 6th Street"/>
    <x v="5"/>
    <x v="5"/>
    <n v="99999"/>
    <s v="USA"/>
    <x v="4"/>
    <x v="2"/>
    <d v="2014-12-08T00:00:00"/>
    <x v="2"/>
    <s v="Francisco Pérez-Olaeta"/>
    <s v="123 6th Street"/>
    <x v="5"/>
    <s v="WI"/>
    <n v="99999"/>
    <s v="USA"/>
    <s v="Check"/>
    <x v="2"/>
    <x v="1"/>
    <n v="30"/>
    <n v="33"/>
    <x v="82"/>
    <n v="95.039999999999992"/>
  </r>
  <r>
    <n v="1430"/>
    <x v="140"/>
    <n v="6"/>
    <x v="6"/>
    <s v="123 6th Street"/>
    <x v="5"/>
    <x v="5"/>
    <n v="99999"/>
    <s v="USA"/>
    <x v="4"/>
    <x v="2"/>
    <d v="2014-12-08T00:00:00"/>
    <x v="2"/>
    <s v="Francisco Pérez-Olaeta"/>
    <s v="123 6th Street"/>
    <x v="5"/>
    <s v="WI"/>
    <n v="99999"/>
    <s v="USA"/>
    <s v="Check"/>
    <x v="3"/>
    <x v="1"/>
    <n v="53"/>
    <n v="34"/>
    <x v="312"/>
    <n v="185.60600000000002"/>
  </r>
  <r>
    <n v="1431"/>
    <x v="135"/>
    <n v="4"/>
    <x v="1"/>
    <s v="123 4th Street"/>
    <x v="1"/>
    <x v="1"/>
    <n v="99999"/>
    <s v="USA"/>
    <x v="1"/>
    <x v="1"/>
    <m/>
    <x v="3"/>
    <s v="Christina Lee"/>
    <s v="123 4th Street"/>
    <x v="1"/>
    <s v="NY"/>
    <n v="99999"/>
    <s v="USA"/>
    <m/>
    <x v="20"/>
    <x v="9"/>
    <n v="38"/>
    <n v="59"/>
    <x v="313"/>
    <n v="226.44200000000001"/>
  </r>
  <r>
    <n v="1432"/>
    <x v="139"/>
    <n v="3"/>
    <x v="5"/>
    <s v="123 3rd Street"/>
    <x v="4"/>
    <x v="4"/>
    <n v="99999"/>
    <s v="USA"/>
    <x v="0"/>
    <x v="0"/>
    <m/>
    <x v="3"/>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3D2FDF-6B42-4296-8147-0AC3102F9E26}" name="PivotTable6"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7">
  <location ref="A170:B178"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h="1" x="11"/>
        <item h="1" x="0"/>
        <item h="1" x="7"/>
        <item h="1" x="5"/>
        <item h="1" x="4"/>
        <item h="1" x="1"/>
        <item h="1" x="6"/>
        <item h="1" x="9"/>
        <item h="1" x="3"/>
        <item h="1" x="12"/>
        <item h="1" x="8"/>
        <item h="1" x="10"/>
        <item x="2"/>
        <item h="1" x="13"/>
        <item h="1" x="14"/>
        <item t="default"/>
      </items>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items count="5">
        <item x="1"/>
        <item x="0"/>
        <item x="2"/>
        <item x="3"/>
        <item t="default"/>
      </items>
    </pivotField>
    <pivotField showAll="0"/>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axis="axisRow" dataField="1" numFmtId="165" showAll="0">
      <items count="11">
        <item x="0"/>
        <item x="1"/>
        <item x="2"/>
        <item x="3"/>
        <item x="4"/>
        <item x="5"/>
        <item x="6"/>
        <item x="7"/>
        <item x="8"/>
        <item x="9"/>
        <item t="default"/>
      </items>
    </pivotField>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4"/>
  </rowFields>
  <rowItems count="8">
    <i>
      <x v="1"/>
    </i>
    <i>
      <x v="2"/>
    </i>
    <i>
      <x v="3"/>
    </i>
    <i>
      <x v="4"/>
    </i>
    <i>
      <x v="5"/>
    </i>
    <i>
      <x v="7"/>
    </i>
    <i>
      <x v="8"/>
    </i>
    <i t="grand">
      <x/>
    </i>
  </rowItems>
  <colItems count="1">
    <i/>
  </colItems>
  <dataFields count="1">
    <dataField name="Count of Revenue" fld="24" subtotal="count" baseField="24" baseItem="0"/>
  </dataFields>
  <chartFormats count="7">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4" count="1" selected="0">
            <x v="1"/>
          </reference>
        </references>
      </pivotArea>
    </chartFormat>
    <chartFormat chart="6" format="2">
      <pivotArea type="data" outline="0" fieldPosition="0">
        <references count="2">
          <reference field="4294967294" count="1" selected="0">
            <x v="0"/>
          </reference>
          <reference field="24" count="1" selected="0">
            <x v="3"/>
          </reference>
        </references>
      </pivotArea>
    </chartFormat>
    <chartFormat chart="6" format="3">
      <pivotArea type="data" outline="0" fieldPosition="0">
        <references count="2">
          <reference field="4294967294" count="1" selected="0">
            <x v="0"/>
          </reference>
          <reference field="24" count="1" selected="0">
            <x v="4"/>
          </reference>
        </references>
      </pivotArea>
    </chartFormat>
    <chartFormat chart="6" format="4">
      <pivotArea type="data" outline="0" fieldPosition="0">
        <references count="2">
          <reference field="4294967294" count="1" selected="0">
            <x v="0"/>
          </reference>
          <reference field="24" count="1" selected="0">
            <x v="5"/>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5FA981-9594-4C0C-BEAF-A0DAA518E199}" name="PivotTable3"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7">
  <location ref="A96:B103"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h="1" x="11"/>
        <item h="1" x="0"/>
        <item h="1" x="7"/>
        <item h="1" x="5"/>
        <item h="1" x="4"/>
        <item h="1" x="1"/>
        <item h="1" x="6"/>
        <item h="1" x="9"/>
        <item h="1" x="3"/>
        <item h="1" x="12"/>
        <item h="1" x="8"/>
        <item h="1" x="10"/>
        <item x="2"/>
        <item h="1" x="13"/>
        <item h="1" x="14"/>
        <item t="default"/>
      </items>
    </pivotField>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items count="5">
        <item x="1"/>
        <item x="0"/>
        <item x="2"/>
        <item x="3"/>
        <item t="default"/>
      </items>
    </pivotField>
    <pivotField showAll="0"/>
    <pivotField showAll="0"/>
    <pivotField showAll="0" measureFilter="1">
      <items count="13">
        <item x="8"/>
        <item x="7"/>
        <item x="3"/>
        <item x="0"/>
        <item x="4"/>
        <item x="6"/>
        <item x="9"/>
        <item x="5"/>
        <item x="1"/>
        <item x="2"/>
        <item x="11"/>
        <item x="10"/>
        <item t="default"/>
      </items>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8"/>
    </i>
    <i>
      <x v="9"/>
    </i>
    <i>
      <x v="6"/>
    </i>
    <i>
      <x v="5"/>
    </i>
    <i>
      <x v="1"/>
    </i>
    <i>
      <x v="7"/>
    </i>
    <i t="grand">
      <x/>
    </i>
  </rowItems>
  <colItems count="1">
    <i/>
  </colItems>
  <dataFields count="1">
    <dataField name="Sum of Revenue" fld="24" baseField="0" baseItem="0" numFmtId="165"/>
  </dataFields>
  <chartFormats count="9">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9"/>
          </reference>
        </references>
      </pivotArea>
    </chartFormat>
    <chartFormat chart="3" format="2">
      <pivotArea type="data" outline="0" fieldPosition="0">
        <references count="2">
          <reference field="4294967294" count="1" selected="0">
            <x v="0"/>
          </reference>
          <reference field="5" count="1" selected="0">
            <x v="8"/>
          </reference>
        </references>
      </pivotArea>
    </chartFormat>
    <chartFormat chart="3" format="3">
      <pivotArea type="data" outline="0" fieldPosition="0">
        <references count="2">
          <reference field="4294967294" count="1" selected="0">
            <x v="0"/>
          </reference>
          <reference field="5" count="1" selected="0">
            <x v="7"/>
          </reference>
        </references>
      </pivotArea>
    </chartFormat>
    <chartFormat chart="3" format="3">
      <pivotArea type="data" outline="0" fieldPosition="0">
        <references count="2">
          <reference field="4294967294" count="1" selected="0">
            <x v="0"/>
          </reference>
          <reference field="5" count="1" selected="0">
            <x v="6"/>
          </reference>
        </references>
      </pivotArea>
    </chartFormat>
    <chartFormat chart="3" format="4">
      <pivotArea type="data" outline="0" fieldPosition="0">
        <references count="2">
          <reference field="4294967294" count="1" selected="0">
            <x v="0"/>
          </reference>
          <reference field="5" count="1" selected="0">
            <x v="1"/>
          </reference>
        </references>
      </pivotArea>
    </chartFormat>
    <chartFormat chart="3" format="5">
      <pivotArea type="data" outline="0" fieldPosition="0">
        <references count="2">
          <reference field="4294967294" count="1" selected="0">
            <x v="0"/>
          </reference>
          <reference field="5" count="1" selected="0">
            <x v="5"/>
          </reference>
        </references>
      </pivotArea>
    </chartFormat>
    <chartFormat chart="3" format="6">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filters count="2">
    <filter fld="15" type="count" evalOrder="-1" id="1" iMeasureFld="0">
      <autoFilter ref="A1">
        <filterColumn colId="0">
          <top10 val="5" filterVal="5"/>
        </filterColumn>
      </autoFilter>
    </filter>
    <filter fld="5"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851D34-EE58-4CBE-9FDD-86FD0BE3FCCE}" name="PivotTable5"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2">
  <location ref="A142:B155"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h="1" x="11"/>
        <item h="1" x="0"/>
        <item h="1" x="7"/>
        <item h="1" x="5"/>
        <item h="1" x="4"/>
        <item h="1" x="1"/>
        <item h="1" x="6"/>
        <item h="1" x="9"/>
        <item h="1" x="3"/>
        <item h="1" x="12"/>
        <item h="1" x="8"/>
        <item h="1" x="10"/>
        <item x="2"/>
        <item h="1" x="13"/>
        <item h="1" x="14"/>
        <item t="default"/>
      </items>
    </pivotField>
    <pivotField showAll="0"/>
    <pivotField showAll="0"/>
    <pivotField showAll="0"/>
    <pivotField showAll="0"/>
    <pivotField showAll="0"/>
    <pivotField showAll="0">
      <items count="9">
        <item x="1"/>
        <item x="5"/>
        <item x="3"/>
        <item x="6"/>
        <item x="0"/>
        <item x="4"/>
        <item x="2"/>
        <item x="7"/>
        <item t="default"/>
      </items>
    </pivotField>
    <pivotField showAll="0">
      <items count="5">
        <item h="1" x="1"/>
        <item x="2"/>
        <item h="1" x="3"/>
        <item h="1" x="0"/>
        <item t="default"/>
      </items>
    </pivotField>
    <pivotField showAll="0"/>
    <pivotField showAll="0">
      <items count="5">
        <item x="1"/>
        <item x="0"/>
        <item x="2"/>
        <item x="3"/>
        <item t="default"/>
      </items>
    </pivotField>
    <pivotField showAll="0"/>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7"/>
  </rowFields>
  <rowItems count="13">
    <i>
      <x v="1"/>
    </i>
    <i>
      <x v="2"/>
    </i>
    <i>
      <x v="3"/>
    </i>
    <i>
      <x v="4"/>
    </i>
    <i>
      <x v="5"/>
    </i>
    <i>
      <x v="6"/>
    </i>
    <i>
      <x v="7"/>
    </i>
    <i>
      <x v="8"/>
    </i>
    <i>
      <x v="9"/>
    </i>
    <i>
      <x v="10"/>
    </i>
    <i>
      <x v="11"/>
    </i>
    <i>
      <x v="12"/>
    </i>
    <i t="grand">
      <x/>
    </i>
  </rowItems>
  <colItems count="1">
    <i/>
  </colItems>
  <dataFields count="1">
    <dataField name="Sum of Revenue" fld="24" baseField="0" baseItem="0" numFmtId="165"/>
  </dataFields>
  <chartFormats count="1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7" count="1" selected="0">
            <x v="9"/>
          </reference>
        </references>
      </pivotArea>
    </chartFormat>
    <chartFormat chart="7" format="4">
      <pivotArea type="data" outline="0" fieldPosition="0">
        <references count="2">
          <reference field="4294967294" count="1" selected="0">
            <x v="0"/>
          </reference>
          <reference field="27" count="1" selected="0">
            <x v="7"/>
          </reference>
        </references>
      </pivotArea>
    </chartFormat>
    <chartFormat chart="7" format="5">
      <pivotArea type="data" outline="0" fieldPosition="0">
        <references count="2">
          <reference field="4294967294" count="1" selected="0">
            <x v="0"/>
          </reference>
          <reference field="27" count="1" selected="0">
            <x v="8"/>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A61905-B216-44AB-9CCA-A43C8538BC95}" name="PivotTable1"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
  <location ref="A48:B54"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h="1" x="11"/>
        <item h="1" x="0"/>
        <item h="1" x="7"/>
        <item h="1" x="5"/>
        <item h="1" x="4"/>
        <item h="1" x="1"/>
        <item h="1" x="6"/>
        <item h="1" x="9"/>
        <item h="1" x="3"/>
        <item h="1" x="12"/>
        <item h="1" x="8"/>
        <item h="1" x="10"/>
        <item x="2"/>
        <item h="1" x="13"/>
        <item h="1" x="14"/>
        <item t="default"/>
      </items>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items count="5">
        <item x="1"/>
        <item x="0"/>
        <item x="2"/>
        <item x="3"/>
        <item t="default"/>
      </items>
    </pivotField>
    <pivotField showAll="0"/>
    <pivotField showAll="0"/>
    <pivotField axis="axisRow" showAll="0" measureFilter="1" sortType="a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6">
    <i>
      <x v="1"/>
    </i>
    <i>
      <x v="5"/>
    </i>
    <i>
      <x v="6"/>
    </i>
    <i>
      <x v="9"/>
    </i>
    <i>
      <x v="8"/>
    </i>
    <i t="grand">
      <x/>
    </i>
  </rowItems>
  <colItems count="1">
    <i/>
  </colItems>
  <dataFields count="1">
    <dataField name="Sum of Revenue" fld="24" baseField="0" baseItem="0" numFmtId="165"/>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9"/>
          </reference>
        </references>
      </pivotArea>
    </chartFormat>
    <chartFormat chart="0" format="2">
      <pivotArea type="data" outline="0" fieldPosition="0">
        <references count="2">
          <reference field="4294967294" count="1" selected="0">
            <x v="0"/>
          </reference>
          <reference field="15" count="1" selected="0">
            <x v="8"/>
          </reference>
        </references>
      </pivotArea>
    </chartFormat>
    <chartFormat chart="0" format="3">
      <pivotArea type="data" outline="0" fieldPosition="0">
        <references count="2">
          <reference field="4294967294" count="1" selected="0">
            <x v="0"/>
          </reference>
          <reference field="15" count="1" selected="0">
            <x v="6"/>
          </reference>
        </references>
      </pivotArea>
    </chartFormat>
    <chartFormat chart="0" format="4">
      <pivotArea type="data" outline="0" fieldPosition="0">
        <references count="2">
          <reference field="4294967294" count="1" selected="0">
            <x v="0"/>
          </reference>
          <reference field="15" count="1" selected="0">
            <x v="5"/>
          </reference>
        </references>
      </pivotArea>
    </chartFormat>
    <chartFormat chart="0" format="5">
      <pivotArea type="data" outline="0" fieldPosition="0">
        <references count="2">
          <reference field="4294967294" count="1" selected="0">
            <x v="0"/>
          </reference>
          <reference field="15" count="1" selected="0">
            <x v="1"/>
          </reference>
        </references>
      </pivotArea>
    </chartFormat>
    <chartFormat chart="0" format="6">
      <pivotArea type="data" outline="0" fieldPosition="0">
        <references count="2">
          <reference field="4294967294" count="1" selected="0">
            <x v="0"/>
          </reference>
          <reference field="15" count="1" selected="0">
            <x v="11"/>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E91AB7-C13C-4A63-B817-7458FC9DCE4C}" name="PivotTable8"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7">
  <location ref="A11:B20"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h="1" x="11"/>
        <item h="1" x="0"/>
        <item h="1" x="7"/>
        <item h="1" x="5"/>
        <item h="1" x="4"/>
        <item h="1" x="1"/>
        <item h="1" x="6"/>
        <item h="1" x="9"/>
        <item h="1" x="3"/>
        <item h="1" x="12"/>
        <item h="1" x="8"/>
        <item h="1" x="10"/>
        <item x="2"/>
        <item h="1" x="13"/>
        <item h="1" x="14"/>
        <item t="default"/>
      </items>
    </pivotField>
    <pivotField showAll="0"/>
    <pivotField showAll="0"/>
    <pivotField showAll="0"/>
    <pivotField showAll="0"/>
    <pivotField showAll="0"/>
    <pivotField axis="axisRow"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items count="5">
        <item x="1"/>
        <item x="0"/>
        <item x="2"/>
        <item x="3"/>
        <item t="default"/>
      </items>
    </pivotField>
    <pivotField showAll="0"/>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9">
    <i>
      <x v="2"/>
    </i>
    <i>
      <x v="7"/>
    </i>
    <i>
      <x v="5"/>
    </i>
    <i>
      <x v="3"/>
    </i>
    <i>
      <x v="4"/>
    </i>
    <i>
      <x/>
    </i>
    <i>
      <x v="1"/>
    </i>
    <i>
      <x v="6"/>
    </i>
    <i t="grand">
      <x/>
    </i>
  </rowItems>
  <colItems count="1">
    <i/>
  </colItems>
  <dataFields count="1">
    <dataField name="Sum of Revenue" fld="24" baseField="0" baseItem="0" numFmtId="165"/>
  </dataFields>
  <chartFormats count="19">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9" count="1" selected="0">
            <x v="6"/>
          </reference>
        </references>
      </pivotArea>
    </chartFormat>
    <chartFormat chart="4" format="2">
      <pivotArea type="data" outline="0" fieldPosition="0">
        <references count="2">
          <reference field="4294967294" count="1" selected="0">
            <x v="0"/>
          </reference>
          <reference field="9" count="1" selected="0">
            <x v="1"/>
          </reference>
        </references>
      </pivotArea>
    </chartFormat>
    <chartFormat chart="4" format="3">
      <pivotArea type="data" outline="0" fieldPosition="0">
        <references count="2">
          <reference field="4294967294" count="1" selected="0">
            <x v="0"/>
          </reference>
          <reference field="9" count="1" selected="0">
            <x v="0"/>
          </reference>
        </references>
      </pivotArea>
    </chartFormat>
    <chartFormat chart="4" format="4">
      <pivotArea type="data" outline="0" fieldPosition="0">
        <references count="2">
          <reference field="4294967294" count="1" selected="0">
            <x v="0"/>
          </reference>
          <reference field="9" count="1" selected="0">
            <x v="4"/>
          </reference>
        </references>
      </pivotArea>
    </chartFormat>
    <chartFormat chart="4" format="5">
      <pivotArea type="data" outline="0" fieldPosition="0">
        <references count="2">
          <reference field="4294967294" count="1" selected="0">
            <x v="0"/>
          </reference>
          <reference field="9" count="1" selected="0">
            <x v="3"/>
          </reference>
        </references>
      </pivotArea>
    </chartFormat>
    <chartFormat chart="4" format="6">
      <pivotArea type="data" outline="0" fieldPosition="0">
        <references count="2">
          <reference field="4294967294" count="1" selected="0">
            <x v="0"/>
          </reference>
          <reference field="9" count="1" selected="0">
            <x v="5"/>
          </reference>
        </references>
      </pivotArea>
    </chartFormat>
    <chartFormat chart="4" format="7">
      <pivotArea type="data" outline="0" fieldPosition="0">
        <references count="2">
          <reference field="4294967294" count="1" selected="0">
            <x v="0"/>
          </reference>
          <reference field="9" count="1" selected="0">
            <x v="7"/>
          </reference>
        </references>
      </pivotArea>
    </chartFormat>
    <chartFormat chart="4" format="8">
      <pivotArea type="data" outline="0" fieldPosition="0">
        <references count="2">
          <reference field="4294967294" count="1" selected="0">
            <x v="0"/>
          </reference>
          <reference field="9" count="1" selected="0">
            <x v="2"/>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9" count="1" selected="0">
            <x v="2"/>
          </reference>
        </references>
      </pivotArea>
    </chartFormat>
    <chartFormat chart="6" format="20">
      <pivotArea type="data" outline="0" fieldPosition="0">
        <references count="2">
          <reference field="4294967294" count="1" selected="0">
            <x v="0"/>
          </reference>
          <reference field="9" count="1" selected="0">
            <x v="7"/>
          </reference>
        </references>
      </pivotArea>
    </chartFormat>
    <chartFormat chart="6" format="21">
      <pivotArea type="data" outline="0" fieldPosition="0">
        <references count="2">
          <reference field="4294967294" count="1" selected="0">
            <x v="0"/>
          </reference>
          <reference field="9" count="1" selected="0">
            <x v="5"/>
          </reference>
        </references>
      </pivotArea>
    </chartFormat>
    <chartFormat chart="6" format="22">
      <pivotArea type="data" outline="0" fieldPosition="0">
        <references count="2">
          <reference field="4294967294" count="1" selected="0">
            <x v="0"/>
          </reference>
          <reference field="9" count="1" selected="0">
            <x v="3"/>
          </reference>
        </references>
      </pivotArea>
    </chartFormat>
    <chartFormat chart="6" format="23">
      <pivotArea type="data" outline="0" fieldPosition="0">
        <references count="2">
          <reference field="4294967294" count="1" selected="0">
            <x v="0"/>
          </reference>
          <reference field="9" count="1" selected="0">
            <x v="4"/>
          </reference>
        </references>
      </pivotArea>
    </chartFormat>
    <chartFormat chart="6" format="24">
      <pivotArea type="data" outline="0" fieldPosition="0">
        <references count="2">
          <reference field="4294967294" count="1" selected="0">
            <x v="0"/>
          </reference>
          <reference field="9" count="1" selected="0">
            <x v="0"/>
          </reference>
        </references>
      </pivotArea>
    </chartFormat>
    <chartFormat chart="6" format="25">
      <pivotArea type="data" outline="0" fieldPosition="0">
        <references count="2">
          <reference field="4294967294" count="1" selected="0">
            <x v="0"/>
          </reference>
          <reference field="9" count="1" selected="0">
            <x v="1"/>
          </reference>
        </references>
      </pivotArea>
    </chartFormat>
    <chartFormat chart="6" format="26">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AEF618-19D4-4933-BC53-1A48D8B7B983}" name="PivotTable11"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A69:B75"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h="1" x="11"/>
        <item h="1" x="0"/>
        <item h="1" x="7"/>
        <item h="1" x="5"/>
        <item h="1" x="4"/>
        <item h="1" x="1"/>
        <item h="1" x="6"/>
        <item h="1" x="9"/>
        <item h="1" x="3"/>
        <item h="1" x="12"/>
        <item h="1" x="8"/>
        <item h="1" x="10"/>
        <item x="2"/>
        <item h="1" x="13"/>
        <item h="1" x="14"/>
        <item t="default"/>
      </items>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items count="5">
        <item x="1"/>
        <item x="0"/>
        <item x="2"/>
        <item x="3"/>
        <item t="default"/>
      </items>
    </pivotField>
    <pivotField showAll="0"/>
    <pivotField showAll="0"/>
    <pivotField showAll="0" measureFilter="1">
      <items count="13">
        <item x="8"/>
        <item x="7"/>
        <item x="3"/>
        <item x="0"/>
        <item x="4"/>
        <item x="6"/>
        <item x="9"/>
        <item x="5"/>
        <item x="1"/>
        <item x="2"/>
        <item x="11"/>
        <item x="10"/>
        <item t="default"/>
      </items>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axis="axisRow"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1"/>
  </rowFields>
  <rowItems count="6">
    <i>
      <x v="1"/>
    </i>
    <i>
      <x v="12"/>
    </i>
    <i>
      <x v="9"/>
    </i>
    <i>
      <x v="5"/>
    </i>
    <i>
      <x v="6"/>
    </i>
    <i t="grand">
      <x/>
    </i>
  </rowItems>
  <colItems count="1">
    <i/>
  </colItems>
  <dataFields count="1">
    <dataField name="Sum of Revenue" fld="24" baseField="0" baseItem="0" numFmtId="165"/>
  </dataFields>
  <chartFormats count="1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1" count="1" selected="0">
            <x v="1"/>
          </reference>
        </references>
      </pivotArea>
    </chartFormat>
    <chartFormat chart="1" format="2">
      <pivotArea type="data" outline="0" fieldPosition="0">
        <references count="2">
          <reference field="4294967294" count="1" selected="0">
            <x v="0"/>
          </reference>
          <reference field="21" count="1" selected="0">
            <x v="12"/>
          </reference>
        </references>
      </pivotArea>
    </chartFormat>
    <chartFormat chart="1" format="3">
      <pivotArea type="data" outline="0" fieldPosition="0">
        <references count="2">
          <reference field="4294967294" count="1" selected="0">
            <x v="0"/>
          </reference>
          <reference field="21" count="1" selected="0">
            <x v="9"/>
          </reference>
        </references>
      </pivotArea>
    </chartFormat>
    <chartFormat chart="1" format="4">
      <pivotArea type="data" outline="0" fieldPosition="0">
        <references count="2">
          <reference field="4294967294" count="1" selected="0">
            <x v="0"/>
          </reference>
          <reference field="21" count="1" selected="0">
            <x v="5"/>
          </reference>
        </references>
      </pivotArea>
    </chartFormat>
    <chartFormat chart="1" format="5">
      <pivotArea type="data" outline="0" fieldPosition="0">
        <references count="2">
          <reference field="4294967294" count="1" selected="0">
            <x v="0"/>
          </reference>
          <reference field="21" count="1" selected="0">
            <x v="6"/>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1" count="1" selected="0">
            <x v="1"/>
          </reference>
        </references>
      </pivotArea>
    </chartFormat>
    <chartFormat chart="5" format="14">
      <pivotArea type="data" outline="0" fieldPosition="0">
        <references count="2">
          <reference field="4294967294" count="1" selected="0">
            <x v="0"/>
          </reference>
          <reference field="21" count="1" selected="0">
            <x v="12"/>
          </reference>
        </references>
      </pivotArea>
    </chartFormat>
    <chartFormat chart="5" format="15">
      <pivotArea type="data" outline="0" fieldPosition="0">
        <references count="2">
          <reference field="4294967294" count="1" selected="0">
            <x v="0"/>
          </reference>
          <reference field="21" count="1" selected="0">
            <x v="9"/>
          </reference>
        </references>
      </pivotArea>
    </chartFormat>
    <chartFormat chart="5" format="16">
      <pivotArea type="data" outline="0" fieldPosition="0">
        <references count="2">
          <reference field="4294967294" count="1" selected="0">
            <x v="0"/>
          </reference>
          <reference field="21" count="1" selected="0">
            <x v="5"/>
          </reference>
        </references>
      </pivotArea>
    </chartFormat>
    <chartFormat chart="5" format="17">
      <pivotArea type="data" outline="0" fieldPosition="0">
        <references count="2">
          <reference field="4294967294" count="1" selected="0">
            <x v="0"/>
          </reference>
          <reference field="21" count="1" selected="0">
            <x v="6"/>
          </reference>
        </references>
      </pivotArea>
    </chartFormat>
    <chartFormat chart="1" format="6">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filters count="2">
    <filter fld="15" type="count" evalOrder="-1" id="1" iMeasureFld="0">
      <autoFilter ref="A1">
        <filterColumn colId="0">
          <top10 val="5" filterVal="5"/>
        </filterColumn>
      </autoFilter>
    </filter>
    <filter fld="2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D9E98C-1C72-4E86-AFE0-93731A9C4A6D}" name="PivotTable7"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9">
  <location ref="A191:B207"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items count="5">
        <item x="1"/>
        <item x="0"/>
        <item x="2"/>
        <item x="3"/>
        <item t="default"/>
      </items>
    </pivotField>
    <pivotField showAll="0"/>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6">
    <i>
      <x v="1"/>
    </i>
    <i>
      <x v="13"/>
    </i>
    <i>
      <x v="12"/>
    </i>
    <i>
      <x v="4"/>
    </i>
    <i>
      <x v="7"/>
    </i>
    <i>
      <x v="11"/>
    </i>
    <i>
      <x v="3"/>
    </i>
    <i>
      <x v="14"/>
    </i>
    <i>
      <x v="10"/>
    </i>
    <i>
      <x v="9"/>
    </i>
    <i>
      <x/>
    </i>
    <i>
      <x v="6"/>
    </i>
    <i>
      <x v="2"/>
    </i>
    <i>
      <x v="8"/>
    </i>
    <i>
      <x v="5"/>
    </i>
    <i t="grand">
      <x/>
    </i>
  </rowItems>
  <colItems count="1">
    <i/>
  </colItems>
  <dataFields count="1">
    <dataField name="Sum of Revenue" fld="24" baseField="24" baseItem="1" numFmtId="165"/>
  </dataFields>
  <chartFormats count="6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5"/>
          </reference>
        </references>
      </pivotArea>
    </chartFormat>
    <chartFormat chart="6" format="2">
      <pivotArea type="data" outline="0" fieldPosition="0">
        <references count="2">
          <reference field="4294967294" count="1" selected="0">
            <x v="0"/>
          </reference>
          <reference field="3" count="1" selected="0">
            <x v="8"/>
          </reference>
        </references>
      </pivotArea>
    </chartFormat>
    <chartFormat chart="6" format="3">
      <pivotArea type="data" outline="0" fieldPosition="0">
        <references count="2">
          <reference field="4294967294" count="1" selected="0">
            <x v="0"/>
          </reference>
          <reference field="3" count="1" selected="0">
            <x v="2"/>
          </reference>
        </references>
      </pivotArea>
    </chartFormat>
    <chartFormat chart="6" format="4">
      <pivotArea type="data" outline="0" fieldPosition="0">
        <references count="2">
          <reference field="4294967294" count="1" selected="0">
            <x v="0"/>
          </reference>
          <reference field="3" count="1" selected="0">
            <x v="6"/>
          </reference>
        </references>
      </pivotArea>
    </chartFormat>
    <chartFormat chart="6" format="5">
      <pivotArea type="data" outline="0" fieldPosition="0">
        <references count="2">
          <reference field="4294967294" count="1" selected="0">
            <x v="0"/>
          </reference>
          <reference field="3" count="1" selected="0">
            <x v="0"/>
          </reference>
        </references>
      </pivotArea>
    </chartFormat>
    <chartFormat chart="6" format="6">
      <pivotArea type="data" outline="0" fieldPosition="0">
        <references count="2">
          <reference field="4294967294" count="1" selected="0">
            <x v="0"/>
          </reference>
          <reference field="3" count="1" selected="0">
            <x v="9"/>
          </reference>
        </references>
      </pivotArea>
    </chartFormat>
    <chartFormat chart="6" format="7">
      <pivotArea type="data" outline="0" fieldPosition="0">
        <references count="2">
          <reference field="4294967294" count="1" selected="0">
            <x v="0"/>
          </reference>
          <reference field="3" count="1" selected="0">
            <x v="10"/>
          </reference>
        </references>
      </pivotArea>
    </chartFormat>
    <chartFormat chart="6" format="8">
      <pivotArea type="data" outline="0" fieldPosition="0">
        <references count="2">
          <reference field="4294967294" count="1" selected="0">
            <x v="0"/>
          </reference>
          <reference field="3" count="1" selected="0">
            <x v="14"/>
          </reference>
        </references>
      </pivotArea>
    </chartFormat>
    <chartFormat chart="6" format="9">
      <pivotArea type="data" outline="0" fieldPosition="0">
        <references count="2">
          <reference field="4294967294" count="1" selected="0">
            <x v="0"/>
          </reference>
          <reference field="3" count="1" selected="0">
            <x v="3"/>
          </reference>
        </references>
      </pivotArea>
    </chartFormat>
    <chartFormat chart="6" format="10">
      <pivotArea type="data" outline="0" fieldPosition="0">
        <references count="2">
          <reference field="4294967294" count="1" selected="0">
            <x v="0"/>
          </reference>
          <reference field="3" count="1" selected="0">
            <x v="11"/>
          </reference>
        </references>
      </pivotArea>
    </chartFormat>
    <chartFormat chart="13" format="22" series="1">
      <pivotArea type="data" outline="0" fieldPosition="0">
        <references count="1">
          <reference field="4294967294" count="1" selected="0">
            <x v="0"/>
          </reference>
        </references>
      </pivotArea>
    </chartFormat>
    <chartFormat chart="13" format="23">
      <pivotArea type="data" outline="0" fieldPosition="0">
        <references count="2">
          <reference field="4294967294" count="1" selected="0">
            <x v="0"/>
          </reference>
          <reference field="3" count="1" selected="0">
            <x v="11"/>
          </reference>
        </references>
      </pivotArea>
    </chartFormat>
    <chartFormat chart="13" format="24">
      <pivotArea type="data" outline="0" fieldPosition="0">
        <references count="2">
          <reference field="4294967294" count="1" selected="0">
            <x v="0"/>
          </reference>
          <reference field="3" count="1" selected="0">
            <x v="3"/>
          </reference>
        </references>
      </pivotArea>
    </chartFormat>
    <chartFormat chart="13" format="25">
      <pivotArea type="data" outline="0" fieldPosition="0">
        <references count="2">
          <reference field="4294967294" count="1" selected="0">
            <x v="0"/>
          </reference>
          <reference field="3" count="1" selected="0">
            <x v="14"/>
          </reference>
        </references>
      </pivotArea>
    </chartFormat>
    <chartFormat chart="13" format="26">
      <pivotArea type="data" outline="0" fieldPosition="0">
        <references count="2">
          <reference field="4294967294" count="1" selected="0">
            <x v="0"/>
          </reference>
          <reference field="3" count="1" selected="0">
            <x v="10"/>
          </reference>
        </references>
      </pivotArea>
    </chartFormat>
    <chartFormat chart="13" format="27">
      <pivotArea type="data" outline="0" fieldPosition="0">
        <references count="2">
          <reference field="4294967294" count="1" selected="0">
            <x v="0"/>
          </reference>
          <reference field="3" count="1" selected="0">
            <x v="9"/>
          </reference>
        </references>
      </pivotArea>
    </chartFormat>
    <chartFormat chart="13" format="28">
      <pivotArea type="data" outline="0" fieldPosition="0">
        <references count="2">
          <reference field="4294967294" count="1" selected="0">
            <x v="0"/>
          </reference>
          <reference field="3" count="1" selected="0">
            <x v="0"/>
          </reference>
        </references>
      </pivotArea>
    </chartFormat>
    <chartFormat chart="13" format="29">
      <pivotArea type="data" outline="0" fieldPosition="0">
        <references count="2">
          <reference field="4294967294" count="1" selected="0">
            <x v="0"/>
          </reference>
          <reference field="3" count="1" selected="0">
            <x v="6"/>
          </reference>
        </references>
      </pivotArea>
    </chartFormat>
    <chartFormat chart="13" format="30">
      <pivotArea type="data" outline="0" fieldPosition="0">
        <references count="2">
          <reference field="4294967294" count="1" selected="0">
            <x v="0"/>
          </reference>
          <reference field="3" count="1" selected="0">
            <x v="2"/>
          </reference>
        </references>
      </pivotArea>
    </chartFormat>
    <chartFormat chart="13" format="31">
      <pivotArea type="data" outline="0" fieldPosition="0">
        <references count="2">
          <reference field="4294967294" count="1" selected="0">
            <x v="0"/>
          </reference>
          <reference field="3" count="1" selected="0">
            <x v="8"/>
          </reference>
        </references>
      </pivotArea>
    </chartFormat>
    <chartFormat chart="13" format="32">
      <pivotArea type="data" outline="0" fieldPosition="0">
        <references count="2">
          <reference field="4294967294" count="1" selected="0">
            <x v="0"/>
          </reference>
          <reference field="3" count="1" selected="0">
            <x v="5"/>
          </reference>
        </references>
      </pivotArea>
    </chartFormat>
    <chartFormat chart="13" format="33">
      <pivotArea type="data" outline="0" fieldPosition="0">
        <references count="2">
          <reference field="4294967294" count="1" selected="0">
            <x v="0"/>
          </reference>
          <reference field="3" count="1" selected="0">
            <x v="1"/>
          </reference>
        </references>
      </pivotArea>
    </chartFormat>
    <chartFormat chart="13" format="34">
      <pivotArea type="data" outline="0" fieldPosition="0">
        <references count="2">
          <reference field="4294967294" count="1" selected="0">
            <x v="0"/>
          </reference>
          <reference field="3" count="1" selected="0">
            <x v="13"/>
          </reference>
        </references>
      </pivotArea>
    </chartFormat>
    <chartFormat chart="13" format="35">
      <pivotArea type="data" outline="0" fieldPosition="0">
        <references count="2">
          <reference field="4294967294" count="1" selected="0">
            <x v="0"/>
          </reference>
          <reference field="3" count="1" selected="0">
            <x v="12"/>
          </reference>
        </references>
      </pivotArea>
    </chartFormat>
    <chartFormat chart="13" format="36">
      <pivotArea type="data" outline="0" fieldPosition="0">
        <references count="2">
          <reference field="4294967294" count="1" selected="0">
            <x v="0"/>
          </reference>
          <reference field="3" count="1" selected="0">
            <x v="4"/>
          </reference>
        </references>
      </pivotArea>
    </chartFormat>
    <chartFormat chart="13" format="37">
      <pivotArea type="data" outline="0" fieldPosition="0">
        <references count="2">
          <reference field="4294967294" count="1" selected="0">
            <x v="0"/>
          </reference>
          <reference field="3" count="1" selected="0">
            <x v="7"/>
          </reference>
        </references>
      </pivotArea>
    </chartFormat>
    <chartFormat chart="6" format="11">
      <pivotArea type="data" outline="0" fieldPosition="0">
        <references count="2">
          <reference field="4294967294" count="1" selected="0">
            <x v="0"/>
          </reference>
          <reference field="3" count="1" selected="0">
            <x v="4"/>
          </reference>
        </references>
      </pivotArea>
    </chartFormat>
    <chartFormat chart="6" format="12">
      <pivotArea type="data" outline="0" fieldPosition="0">
        <references count="2">
          <reference field="4294967294" count="1" selected="0">
            <x v="0"/>
          </reference>
          <reference field="3" count="1" selected="0">
            <x v="7"/>
          </reference>
        </references>
      </pivotArea>
    </chartFormat>
    <chartFormat chart="6" format="13">
      <pivotArea type="data" outline="0" fieldPosition="0">
        <references count="2">
          <reference field="4294967294" count="1" selected="0">
            <x v="0"/>
          </reference>
          <reference field="3" count="1" selected="0">
            <x v="13"/>
          </reference>
        </references>
      </pivotArea>
    </chartFormat>
    <chartFormat chart="6" format="14">
      <pivotArea type="data" outline="0" fieldPosition="0">
        <references count="2">
          <reference field="4294967294" count="1" selected="0">
            <x v="0"/>
          </reference>
          <reference field="3" count="1" selected="0">
            <x v="1"/>
          </reference>
        </references>
      </pivotArea>
    </chartFormat>
    <chartFormat chart="6" format="15">
      <pivotArea type="data" outline="0" fieldPosition="0">
        <references count="2">
          <reference field="4294967294" count="1" selected="0">
            <x v="0"/>
          </reference>
          <reference field="3" count="1" selected="0">
            <x v="12"/>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3" count="1" selected="0">
            <x v="1"/>
          </reference>
        </references>
      </pivotArea>
    </chartFormat>
    <chartFormat chart="16" format="18">
      <pivotArea type="data" outline="0" fieldPosition="0">
        <references count="2">
          <reference field="4294967294" count="1" selected="0">
            <x v="0"/>
          </reference>
          <reference field="3" count="1" selected="0">
            <x v="13"/>
          </reference>
        </references>
      </pivotArea>
    </chartFormat>
    <chartFormat chart="16" format="19">
      <pivotArea type="data" outline="0" fieldPosition="0">
        <references count="2">
          <reference field="4294967294" count="1" selected="0">
            <x v="0"/>
          </reference>
          <reference field="3" count="1" selected="0">
            <x v="12"/>
          </reference>
        </references>
      </pivotArea>
    </chartFormat>
    <chartFormat chart="16" format="20">
      <pivotArea type="data" outline="0" fieldPosition="0">
        <references count="2">
          <reference field="4294967294" count="1" selected="0">
            <x v="0"/>
          </reference>
          <reference field="3" count="1" selected="0">
            <x v="4"/>
          </reference>
        </references>
      </pivotArea>
    </chartFormat>
    <chartFormat chart="16" format="21">
      <pivotArea type="data" outline="0" fieldPosition="0">
        <references count="2">
          <reference field="4294967294" count="1" selected="0">
            <x v="0"/>
          </reference>
          <reference field="3" count="1" selected="0">
            <x v="7"/>
          </reference>
        </references>
      </pivotArea>
    </chartFormat>
    <chartFormat chart="16" format="22">
      <pivotArea type="data" outline="0" fieldPosition="0">
        <references count="2">
          <reference field="4294967294" count="1" selected="0">
            <x v="0"/>
          </reference>
          <reference field="3" count="1" selected="0">
            <x v="11"/>
          </reference>
        </references>
      </pivotArea>
    </chartFormat>
    <chartFormat chart="16" format="23">
      <pivotArea type="data" outline="0" fieldPosition="0">
        <references count="2">
          <reference field="4294967294" count="1" selected="0">
            <x v="0"/>
          </reference>
          <reference field="3" count="1" selected="0">
            <x v="3"/>
          </reference>
        </references>
      </pivotArea>
    </chartFormat>
    <chartFormat chart="16" format="24">
      <pivotArea type="data" outline="0" fieldPosition="0">
        <references count="2">
          <reference field="4294967294" count="1" selected="0">
            <x v="0"/>
          </reference>
          <reference field="3" count="1" selected="0">
            <x v="14"/>
          </reference>
        </references>
      </pivotArea>
    </chartFormat>
    <chartFormat chart="16" format="25">
      <pivotArea type="data" outline="0" fieldPosition="0">
        <references count="2">
          <reference field="4294967294" count="1" selected="0">
            <x v="0"/>
          </reference>
          <reference field="3" count="1" selected="0">
            <x v="10"/>
          </reference>
        </references>
      </pivotArea>
    </chartFormat>
    <chartFormat chart="16" format="26">
      <pivotArea type="data" outline="0" fieldPosition="0">
        <references count="2">
          <reference field="4294967294" count="1" selected="0">
            <x v="0"/>
          </reference>
          <reference field="3" count="1" selected="0">
            <x v="9"/>
          </reference>
        </references>
      </pivotArea>
    </chartFormat>
    <chartFormat chart="16" format="27">
      <pivotArea type="data" outline="0" fieldPosition="0">
        <references count="2">
          <reference field="4294967294" count="1" selected="0">
            <x v="0"/>
          </reference>
          <reference field="3" count="1" selected="0">
            <x v="0"/>
          </reference>
        </references>
      </pivotArea>
    </chartFormat>
    <chartFormat chart="16" format="28">
      <pivotArea type="data" outline="0" fieldPosition="0">
        <references count="2">
          <reference field="4294967294" count="1" selected="0">
            <x v="0"/>
          </reference>
          <reference field="3" count="1" selected="0">
            <x v="6"/>
          </reference>
        </references>
      </pivotArea>
    </chartFormat>
    <chartFormat chart="16" format="29">
      <pivotArea type="data" outline="0" fieldPosition="0">
        <references count="2">
          <reference field="4294967294" count="1" selected="0">
            <x v="0"/>
          </reference>
          <reference field="3" count="1" selected="0">
            <x v="2"/>
          </reference>
        </references>
      </pivotArea>
    </chartFormat>
    <chartFormat chart="16" format="30">
      <pivotArea type="data" outline="0" fieldPosition="0">
        <references count="2">
          <reference field="4294967294" count="1" selected="0">
            <x v="0"/>
          </reference>
          <reference field="3" count="1" selected="0">
            <x v="8"/>
          </reference>
        </references>
      </pivotArea>
    </chartFormat>
    <chartFormat chart="16" format="31">
      <pivotArea type="data" outline="0" fieldPosition="0">
        <references count="2">
          <reference field="4294967294" count="1" selected="0">
            <x v="0"/>
          </reference>
          <reference field="3" count="1" selected="0">
            <x v="5"/>
          </reference>
        </references>
      </pivotArea>
    </chartFormat>
    <chartFormat chart="18" format="32" series="1">
      <pivotArea type="data" outline="0" fieldPosition="0">
        <references count="1">
          <reference field="4294967294" count="1" selected="0">
            <x v="0"/>
          </reference>
        </references>
      </pivotArea>
    </chartFormat>
    <chartFormat chart="18" format="33">
      <pivotArea type="data" outline="0" fieldPosition="0">
        <references count="2">
          <reference field="4294967294" count="1" selected="0">
            <x v="0"/>
          </reference>
          <reference field="3" count="1" selected="0">
            <x v="1"/>
          </reference>
        </references>
      </pivotArea>
    </chartFormat>
    <chartFormat chart="18" format="34">
      <pivotArea type="data" outline="0" fieldPosition="0">
        <references count="2">
          <reference field="4294967294" count="1" selected="0">
            <x v="0"/>
          </reference>
          <reference field="3" count="1" selected="0">
            <x v="13"/>
          </reference>
        </references>
      </pivotArea>
    </chartFormat>
    <chartFormat chart="18" format="35">
      <pivotArea type="data" outline="0" fieldPosition="0">
        <references count="2">
          <reference field="4294967294" count="1" selected="0">
            <x v="0"/>
          </reference>
          <reference field="3" count="1" selected="0">
            <x v="12"/>
          </reference>
        </references>
      </pivotArea>
    </chartFormat>
    <chartFormat chart="18" format="36">
      <pivotArea type="data" outline="0" fieldPosition="0">
        <references count="2">
          <reference field="4294967294" count="1" selected="0">
            <x v="0"/>
          </reference>
          <reference field="3" count="1" selected="0">
            <x v="4"/>
          </reference>
        </references>
      </pivotArea>
    </chartFormat>
    <chartFormat chart="18" format="37">
      <pivotArea type="data" outline="0" fieldPosition="0">
        <references count="2">
          <reference field="4294967294" count="1" selected="0">
            <x v="0"/>
          </reference>
          <reference field="3" count="1" selected="0">
            <x v="7"/>
          </reference>
        </references>
      </pivotArea>
    </chartFormat>
    <chartFormat chart="18" format="38">
      <pivotArea type="data" outline="0" fieldPosition="0">
        <references count="2">
          <reference field="4294967294" count="1" selected="0">
            <x v="0"/>
          </reference>
          <reference field="3" count="1" selected="0">
            <x v="11"/>
          </reference>
        </references>
      </pivotArea>
    </chartFormat>
    <chartFormat chart="18" format="39">
      <pivotArea type="data" outline="0" fieldPosition="0">
        <references count="2">
          <reference field="4294967294" count="1" selected="0">
            <x v="0"/>
          </reference>
          <reference field="3" count="1" selected="0">
            <x v="3"/>
          </reference>
        </references>
      </pivotArea>
    </chartFormat>
    <chartFormat chart="18" format="40">
      <pivotArea type="data" outline="0" fieldPosition="0">
        <references count="2">
          <reference field="4294967294" count="1" selected="0">
            <x v="0"/>
          </reference>
          <reference field="3" count="1" selected="0">
            <x v="14"/>
          </reference>
        </references>
      </pivotArea>
    </chartFormat>
    <chartFormat chart="18" format="41">
      <pivotArea type="data" outline="0" fieldPosition="0">
        <references count="2">
          <reference field="4294967294" count="1" selected="0">
            <x v="0"/>
          </reference>
          <reference field="3" count="1" selected="0">
            <x v="10"/>
          </reference>
        </references>
      </pivotArea>
    </chartFormat>
    <chartFormat chart="18" format="42">
      <pivotArea type="data" outline="0" fieldPosition="0">
        <references count="2">
          <reference field="4294967294" count="1" selected="0">
            <x v="0"/>
          </reference>
          <reference field="3" count="1" selected="0">
            <x v="9"/>
          </reference>
        </references>
      </pivotArea>
    </chartFormat>
    <chartFormat chart="18" format="43">
      <pivotArea type="data" outline="0" fieldPosition="0">
        <references count="2">
          <reference field="4294967294" count="1" selected="0">
            <x v="0"/>
          </reference>
          <reference field="3" count="1" selected="0">
            <x v="0"/>
          </reference>
        </references>
      </pivotArea>
    </chartFormat>
    <chartFormat chart="18" format="44">
      <pivotArea type="data" outline="0" fieldPosition="0">
        <references count="2">
          <reference field="4294967294" count="1" selected="0">
            <x v="0"/>
          </reference>
          <reference field="3" count="1" selected="0">
            <x v="6"/>
          </reference>
        </references>
      </pivotArea>
    </chartFormat>
    <chartFormat chart="18" format="45">
      <pivotArea type="data" outline="0" fieldPosition="0">
        <references count="2">
          <reference field="4294967294" count="1" selected="0">
            <x v="0"/>
          </reference>
          <reference field="3" count="1" selected="0">
            <x v="2"/>
          </reference>
        </references>
      </pivotArea>
    </chartFormat>
    <chartFormat chart="18" format="46">
      <pivotArea type="data" outline="0" fieldPosition="0">
        <references count="2">
          <reference field="4294967294" count="1" selected="0">
            <x v="0"/>
          </reference>
          <reference field="3" count="1" selected="0">
            <x v="8"/>
          </reference>
        </references>
      </pivotArea>
    </chartFormat>
    <chartFormat chart="18" format="47">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55E498-12FC-4458-AB1D-6F8BD7D3C550}" name="PivotTable10"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1">
  <location ref="A28:B33"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h="1" x="11"/>
        <item h="1" x="0"/>
        <item h="1" x="7"/>
        <item h="1" x="5"/>
        <item h="1" x="4"/>
        <item h="1" x="1"/>
        <item h="1" x="6"/>
        <item h="1" x="9"/>
        <item h="1" x="3"/>
        <item h="1" x="12"/>
        <item h="1" x="8"/>
        <item h="1" x="10"/>
        <item x="2"/>
        <item h="1" x="13"/>
        <item h="1" x="14"/>
        <item t="default"/>
      </items>
    </pivotField>
    <pivotField showAll="0"/>
    <pivotField showAll="0"/>
    <pivotField showAll="0"/>
    <pivotField showAll="0"/>
    <pivotField showAll="0"/>
    <pivotField showAll="0">
      <items count="9">
        <item x="1"/>
        <item x="5"/>
        <item x="3"/>
        <item x="6"/>
        <item x="0"/>
        <item x="4"/>
        <item x="2"/>
        <item x="7"/>
        <item t="default"/>
      </items>
    </pivotField>
    <pivotField axis="axisRow" showAll="0">
      <items count="5">
        <item x="1"/>
        <item x="2"/>
        <item x="3"/>
        <item x="0"/>
        <item t="default"/>
      </items>
    </pivotField>
    <pivotField showAll="0"/>
    <pivotField showAll="0">
      <items count="5">
        <item x="1"/>
        <item x="0"/>
        <item x="2"/>
        <item x="3"/>
        <item t="default"/>
      </items>
    </pivotField>
    <pivotField showAll="0"/>
    <pivotField showAll="0"/>
    <pivotField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i>
    <i>
      <x v="1"/>
    </i>
    <i>
      <x v="2"/>
    </i>
    <i>
      <x v="3"/>
    </i>
    <i t="grand">
      <x/>
    </i>
  </rowItems>
  <colItems count="1">
    <i/>
  </colItems>
  <dataFields count="1">
    <dataField name="Sum of Revenue" fld="24" baseField="0" baseItem="0" numFmtId="165"/>
  </dataFields>
  <chartFormats count="21">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0" count="1" selected="0">
            <x v="2"/>
          </reference>
        </references>
      </pivotArea>
    </chartFormat>
    <chartFormat chart="4" format="2">
      <pivotArea type="data" outline="0" fieldPosition="0">
        <references count="2">
          <reference field="4294967294" count="1" selected="0">
            <x v="0"/>
          </reference>
          <reference field="10" count="1" selected="0">
            <x v="1"/>
          </reference>
        </references>
      </pivotArea>
    </chartFormat>
    <chartFormat chart="4" format="3">
      <pivotArea type="data" outline="0" fieldPosition="0">
        <references count="2">
          <reference field="4294967294" count="1" selected="0">
            <x v="0"/>
          </reference>
          <reference field="10" count="1" selected="0">
            <x v="3"/>
          </reference>
        </references>
      </pivotArea>
    </chartFormat>
    <chartFormat chart="4" format="4">
      <pivotArea type="data" outline="0" fieldPosition="0">
        <references count="2">
          <reference field="4294967294" count="1" selected="0">
            <x v="0"/>
          </reference>
          <reference field="10"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0" count="1" selected="0">
            <x v="0"/>
          </reference>
        </references>
      </pivotArea>
    </chartFormat>
    <chartFormat chart="6" format="7">
      <pivotArea type="data" outline="0" fieldPosition="0">
        <references count="2">
          <reference field="4294967294" count="1" selected="0">
            <x v="0"/>
          </reference>
          <reference field="10" count="1" selected="0">
            <x v="1"/>
          </reference>
        </references>
      </pivotArea>
    </chartFormat>
    <chartFormat chart="6" format="8">
      <pivotArea type="data" outline="0" fieldPosition="0">
        <references count="2">
          <reference field="4294967294" count="1" selected="0">
            <x v="0"/>
          </reference>
          <reference field="10" count="1" selected="0">
            <x v="2"/>
          </reference>
        </references>
      </pivotArea>
    </chartFormat>
    <chartFormat chart="6" format="9">
      <pivotArea type="data" outline="0" fieldPosition="0">
        <references count="2">
          <reference field="4294967294" count="1" selected="0">
            <x v="0"/>
          </reference>
          <reference field="10"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0" count="1" selected="0">
            <x v="0"/>
          </reference>
        </references>
      </pivotArea>
    </chartFormat>
    <chartFormat chart="7" format="12">
      <pivotArea type="data" outline="0" fieldPosition="0">
        <references count="2">
          <reference field="4294967294" count="1" selected="0">
            <x v="0"/>
          </reference>
          <reference field="10" count="1" selected="0">
            <x v="1"/>
          </reference>
        </references>
      </pivotArea>
    </chartFormat>
    <chartFormat chart="7" format="13">
      <pivotArea type="data" outline="0" fieldPosition="0">
        <references count="2">
          <reference field="4294967294" count="1" selected="0">
            <x v="0"/>
          </reference>
          <reference field="10" count="1" selected="0">
            <x v="2"/>
          </reference>
        </references>
      </pivotArea>
    </chartFormat>
    <chartFormat chart="7" format="14">
      <pivotArea type="data" outline="0" fieldPosition="0">
        <references count="2">
          <reference field="4294967294" count="1" selected="0">
            <x v="0"/>
          </reference>
          <reference field="10"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0" count="1" selected="0">
            <x v="0"/>
          </reference>
        </references>
      </pivotArea>
    </chartFormat>
    <chartFormat chart="9" format="12">
      <pivotArea type="data" outline="0" fieldPosition="0">
        <references count="2">
          <reference field="4294967294" count="1" selected="0">
            <x v="0"/>
          </reference>
          <reference field="10" count="1" selected="0">
            <x v="1"/>
          </reference>
        </references>
      </pivotArea>
    </chartFormat>
    <chartFormat chart="9" format="13">
      <pivotArea type="data" outline="0" fieldPosition="0">
        <references count="2">
          <reference field="4294967294" count="1" selected="0">
            <x v="0"/>
          </reference>
          <reference field="10" count="1" selected="0">
            <x v="2"/>
          </reference>
        </references>
      </pivotArea>
    </chartFormat>
    <chartFormat chart="9"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D637FD-B229-4338-9576-EE1C4DB0F695}" name="PivotTable9" cacheId="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A117:B130"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h="1" x="11"/>
        <item h="1" x="0"/>
        <item h="1" x="7"/>
        <item h="1" x="5"/>
        <item h="1" x="4"/>
        <item h="1" x="1"/>
        <item h="1" x="6"/>
        <item h="1" x="9"/>
        <item h="1" x="3"/>
        <item h="1" x="12"/>
        <item h="1" x="8"/>
        <item h="1" x="10"/>
        <item x="2"/>
        <item h="1" x="13"/>
        <item h="1" x="14"/>
        <item t="default"/>
      </items>
    </pivotField>
    <pivotField showAll="0"/>
    <pivotField showAll="0" measureFilter="1">
      <items count="13">
        <item x="8"/>
        <item x="7"/>
        <item x="3"/>
        <item x="0"/>
        <item x="4"/>
        <item x="6"/>
        <item x="9"/>
        <item x="5"/>
        <item x="1"/>
        <item x="2"/>
        <item x="11"/>
        <item x="10"/>
        <item t="default"/>
      </items>
    </pivotField>
    <pivotField axis="axisRow"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items count="5">
        <item x="1"/>
        <item x="0"/>
        <item x="2"/>
        <item x="3"/>
        <item t="default"/>
      </items>
    </pivotField>
    <pivotField showAll="0"/>
    <pivotField showAll="0"/>
    <pivotField showAll="0" measureFilter="1">
      <items count="13">
        <item x="8"/>
        <item x="7"/>
        <item x="3"/>
        <item x="0"/>
        <item x="4"/>
        <item x="6"/>
        <item x="9"/>
        <item x="5"/>
        <item x="1"/>
        <item x="2"/>
        <item x="11"/>
        <item x="10"/>
        <item t="default"/>
      </items>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3">
    <i>
      <x v="6"/>
    </i>
    <i>
      <x v="7"/>
    </i>
    <i>
      <x v="2"/>
    </i>
    <i>
      <x v="8"/>
    </i>
    <i>
      <x v="4"/>
    </i>
    <i>
      <x v="11"/>
    </i>
    <i>
      <x v="10"/>
    </i>
    <i>
      <x v="9"/>
    </i>
    <i>
      <x/>
    </i>
    <i>
      <x v="3"/>
    </i>
    <i>
      <x v="1"/>
    </i>
    <i>
      <x v="5"/>
    </i>
    <i t="grand">
      <x/>
    </i>
  </rowItems>
  <colItems count="1">
    <i/>
  </colItems>
  <dataFields count="1">
    <dataField name="Sum of Revenue" fld="24" baseField="0" baseItem="0" numFmtId="165"/>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5" type="count" evalOrder="-1" id="1" iMeasureFld="0">
      <autoFilter ref="A1">
        <filterColumn colId="0">
          <top10 val="5" filterVal="5"/>
        </filterColumn>
      </autoFilter>
    </filter>
    <filter fld="5"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3FF67B6-A291-422F-8016-0733761E069D}" sourceName="Product Name">
  <pivotTables>
    <pivotTable tabId="19" name="PivotTable5"/>
    <pivotTable tabId="19" name="PivotTable1"/>
    <pivotTable tabId="19" name="PivotTable10"/>
    <pivotTable tabId="19" name="PivotTable11"/>
    <pivotTable tabId="19" name="PivotTable3"/>
    <pivotTable tabId="19" name="PivotTable6"/>
    <pivotTable tabId="19" name="PivotTable7"/>
    <pivotTable tabId="19" name="PivotTable8"/>
    <pivotTable tabId="19" name="PivotTable9"/>
  </pivotTables>
  <data>
    <tabular pivotCacheId="495258334">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4CA7468-4655-4A9F-BC09-6835452DF439}" sourceName="Salesperson">
  <pivotTables>
    <pivotTable tabId="19" name="PivotTable5"/>
    <pivotTable tabId="19" name="PivotTable1"/>
    <pivotTable tabId="19" name="PivotTable10"/>
    <pivotTable tabId="19" name="PivotTable11"/>
    <pivotTable tabId="19" name="PivotTable3"/>
    <pivotTable tabId="19" name="PivotTable6"/>
    <pivotTable tabId="19" name="PivotTable7"/>
    <pivotTable tabId="19" name="PivotTable8"/>
    <pivotTable tabId="19" name="PivotTable9"/>
  </pivotTables>
  <data>
    <tabular pivotCacheId="495258334">
      <items count="8">
        <i x="1" s="1"/>
        <i x="5" s="1"/>
        <i x="3" s="1"/>
        <i x="6" s="1"/>
        <i x="0" s="1"/>
        <i x="4" s="1"/>
        <i x="2"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5FD378C8-D71C-4FEC-AED1-47F8B6DC1B4B}" cache="Slicer_Product_Name" caption="Product Name" columnCount="4" showCaption="0" style="SlicerStyleDark6 3" rowHeight="241300"/>
  <slicer name="Salesperson" xr10:uid="{33F249B1-AFA3-4FA2-9CC3-15EAEA8A53AD}" cache="Slicer_Salesperson" caption="Salesperson" columnCount="4" showCaption="0" style="SlicerStyleDark6 3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3800A9-66B4-4023-A03E-FBF92EC15564}" name="Table1" displayName="Table1" ref="A1:Z370" totalsRowShown="0" headerRowDxfId="8">
  <autoFilter ref="A1:Z370" xr:uid="{00000000-0009-0000-0000-000007000000}"/>
  <tableColumns count="26">
    <tableColumn id="1" xr3:uid="{A1B418F2-954F-4913-A273-1F44FDF43B1C}" name="Order ID"/>
    <tableColumn id="2" xr3:uid="{6691BF2F-677A-4946-A4E9-B426C536546F}" name="Order Date" dataDxfId="7"/>
    <tableColumn id="3" xr3:uid="{CF176E08-AEC6-4CF4-96C1-692F4246545B}" name="Customer ID"/>
    <tableColumn id="4" xr3:uid="{05564543-65DE-4D0C-915D-C822608BF636}" name="Customer Name"/>
    <tableColumn id="5" xr3:uid="{A4BD2C88-E369-4F57-B7D4-19C85C43E411}" name="Address"/>
    <tableColumn id="6" xr3:uid="{4B94C73E-5B31-49BC-BFEC-0A2C20865B1E}" name="City"/>
    <tableColumn id="7" xr3:uid="{C3FA9350-6F64-4D2D-9E2A-8939AE2C8D1B}" name="State"/>
    <tableColumn id="8" xr3:uid="{A8C2C1E2-F57A-4021-9EFC-D8B113424240}" name="ZIP/Postal Code"/>
    <tableColumn id="9" xr3:uid="{231E61A5-50F3-4C53-BC36-9BF3D1F60B85}" name="Country/Region"/>
    <tableColumn id="10" xr3:uid="{A2087937-6AB2-4C2E-91FC-691D2A0AE74D}" name="Salesperson"/>
    <tableColumn id="11" xr3:uid="{9A568BF9-384B-47DF-8934-5F61156CCDEA}" name="Region"/>
    <tableColumn id="12" xr3:uid="{6D516AA8-A789-42AD-9736-509C1038A70B}" name="Shipped Date" dataDxfId="6"/>
    <tableColumn id="13" xr3:uid="{D59F8F14-0E65-438D-8E2A-DA61C6002DAE}" name="Shipper Name"/>
    <tableColumn id="14" xr3:uid="{F22C8B0F-24F0-43B7-B353-9BB85ABA0B9F}" name="Ship Name"/>
    <tableColumn id="15" xr3:uid="{0D846D77-DD1A-4EE3-A6AA-63E2C4F4EE40}" name="Ship Address"/>
    <tableColumn id="16" xr3:uid="{6E43BFA6-1985-447E-870F-B5F704E1E689}" name="Ship City"/>
    <tableColumn id="17" xr3:uid="{9FB6939D-2819-47B6-9DC9-C238A4C0508C}" name="Ship State"/>
    <tableColumn id="18" xr3:uid="{EDD70A7F-DFAC-4A9D-9A47-D402D3EA4DC3}" name="Ship ZIP/Postal Code"/>
    <tableColumn id="19" xr3:uid="{8F3E6802-A64E-481B-A3ED-A1A3EA016374}" name="Ship Country/Region"/>
    <tableColumn id="20" xr3:uid="{396DE22E-61A6-49E3-AE77-4BE6AD2BFFEE}" name="Payment Type"/>
    <tableColumn id="21" xr3:uid="{466B9A33-7BD2-45FA-BCB5-A32D19E0BBE2}" name="Product Name"/>
    <tableColumn id="22" xr3:uid="{4F8DE515-FA54-47FF-9DBF-D566B0C5BF2F}" name="Category"/>
    <tableColumn id="23" xr3:uid="{008BA4BB-CBE9-4903-B0AC-9B378519377A}" name="Unit Price"/>
    <tableColumn id="24" xr3:uid="{BAE19B80-7793-4299-A2C2-6678B160D9CE}" name="Quantity"/>
    <tableColumn id="25" xr3:uid="{EF7DF574-DA08-4689-9E67-F8C894551D90}" name="Revenue" dataDxfId="5" dataCellStyle="Currency"/>
    <tableColumn id="26" xr3:uid="{B5E983E3-C712-4C39-9BD0-815772568DFD}" name="Shipping Fee"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excelcampus.com/pivot-tables/pivot-tables-wor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zoomScale="74" zoomScaleNormal="74" workbookViewId="0">
      <selection activeCell="A20" sqref="A18:E20"/>
    </sheetView>
  </sheetViews>
  <sheetFormatPr defaultRowHeight="14.5" x14ac:dyDescent="0.35"/>
  <sheetData>
    <row r="19" spans="2:3" x14ac:dyDescent="0.35">
      <c r="B19" s="6" t="s">
        <v>153</v>
      </c>
      <c r="C19" t="s">
        <v>154</v>
      </c>
    </row>
    <row r="20" spans="2:3" x14ac:dyDescent="0.35">
      <c r="B20" s="6" t="s">
        <v>152</v>
      </c>
      <c r="C20" s="5" t="s">
        <v>155</v>
      </c>
    </row>
  </sheetData>
  <hyperlinks>
    <hyperlink ref="C20" r:id="rId1" xr:uid="{00000000-0004-0000-02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11"/>
  <sheetViews>
    <sheetView zoomScale="72" zoomScaleNormal="72" workbookViewId="0">
      <selection activeCell="A16" sqref="A16"/>
    </sheetView>
  </sheetViews>
  <sheetFormatPr defaultRowHeight="14.5" x14ac:dyDescent="0.35"/>
  <cols>
    <col min="1" max="1" width="66.453125" customWidth="1"/>
    <col min="3" max="3" width="9.1796875" customWidth="1"/>
  </cols>
  <sheetData>
    <row r="2" spans="1:1" ht="21" x14ac:dyDescent="0.5">
      <c r="A2" s="7" t="s">
        <v>161</v>
      </c>
    </row>
    <row r="3" spans="1:1" ht="68.25" customHeight="1" x14ac:dyDescent="0.35">
      <c r="A3" s="9" t="s">
        <v>162</v>
      </c>
    </row>
    <row r="4" spans="1:1" ht="21" x14ac:dyDescent="0.5">
      <c r="A4" s="8" t="s">
        <v>156</v>
      </c>
    </row>
    <row r="5" spans="1:1" ht="21" x14ac:dyDescent="0.5">
      <c r="A5" s="8" t="s">
        <v>157</v>
      </c>
    </row>
    <row r="6" spans="1:1" ht="21" x14ac:dyDescent="0.5">
      <c r="A6" s="8" t="s">
        <v>158</v>
      </c>
    </row>
    <row r="7" spans="1:1" ht="21" x14ac:dyDescent="0.5">
      <c r="A7" s="8" t="s">
        <v>159</v>
      </c>
    </row>
    <row r="8" spans="1:1" ht="21" x14ac:dyDescent="0.5">
      <c r="A8" s="8" t="s">
        <v>160</v>
      </c>
    </row>
    <row r="9" spans="1:1" ht="21" x14ac:dyDescent="0.5">
      <c r="A9" s="8" t="s">
        <v>164</v>
      </c>
    </row>
    <row r="10" spans="1:1" ht="21" x14ac:dyDescent="0.5">
      <c r="A10" s="8" t="s">
        <v>165</v>
      </c>
    </row>
    <row r="11" spans="1:1" ht="21" x14ac:dyDescent="0.5">
      <c r="A11" s="8" t="s">
        <v>166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tabColor theme="1" tint="0.249977111117893"/>
  </sheetPr>
  <dimension ref="A1:Z370"/>
  <sheetViews>
    <sheetView topLeftCell="C1" zoomScale="72" zoomScaleNormal="55" workbookViewId="0">
      <pane ySplit="1" topLeftCell="A2" activePane="bottomLeft" state="frozen"/>
      <selection pane="bottomLeft" activeCell="D37" sqref="D37"/>
    </sheetView>
  </sheetViews>
  <sheetFormatPr defaultRowHeight="14.5" x14ac:dyDescent="0.35"/>
  <cols>
    <col min="1" max="1" width="10.54296875" customWidth="1"/>
    <col min="2" max="2" width="12.08984375" customWidth="1"/>
    <col min="3" max="3" width="14.1796875" bestFit="1" customWidth="1"/>
    <col min="4" max="4" width="16.1796875" customWidth="1"/>
    <col min="5" max="5" width="14.26953125" bestFit="1" customWidth="1"/>
    <col min="6" max="6" width="12.54296875" bestFit="1" customWidth="1"/>
    <col min="7" max="7" width="7.26953125" customWidth="1"/>
    <col min="8" max="9" width="15.7265625" customWidth="1"/>
    <col min="10" max="10" width="19.7265625" bestFit="1" customWidth="1"/>
    <col min="11" max="11" width="12" customWidth="1"/>
    <col min="12" max="12" width="13.90625" customWidth="1"/>
    <col min="13" max="13" width="19.453125" bestFit="1" customWidth="1"/>
    <col min="14" max="14" width="21.54296875" bestFit="1" customWidth="1"/>
    <col min="15" max="15" width="14.26953125" bestFit="1" customWidth="1"/>
    <col min="16" max="16" width="12.54296875" bestFit="1" customWidth="1"/>
    <col min="17" max="17" width="11.26953125" customWidth="1"/>
    <col min="18" max="19" width="19.6328125" customWidth="1"/>
    <col min="20" max="20" width="14.7265625" customWidth="1"/>
    <col min="21" max="21" width="21" bestFit="1" customWidth="1"/>
    <col min="22" max="22" width="25" bestFit="1" customWidth="1"/>
    <col min="23" max="23" width="10.90625" customWidth="1"/>
    <col min="24" max="24" width="10.08984375" customWidth="1"/>
    <col min="25" max="25" width="19.54296875" customWidth="1"/>
    <col min="26" max="26" width="13.36328125" customWidth="1"/>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35">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35">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35">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35">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35">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35">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35">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35">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35">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35">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35">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35">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35">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35">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35">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35">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35">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35">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35">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35">
      <c r="A22">
        <v>1021</v>
      </c>
      <c r="B22" s="2">
        <v>41650</v>
      </c>
      <c r="C22">
        <v>11</v>
      </c>
      <c r="D22" t="s">
        <v>113</v>
      </c>
      <c r="E22" t="s">
        <v>114</v>
      </c>
      <c r="F22" t="s">
        <v>115</v>
      </c>
      <c r="G22" t="s">
        <v>116</v>
      </c>
      <c r="H22">
        <v>99999</v>
      </c>
      <c r="I22" t="s">
        <v>30</v>
      </c>
      <c r="J22" t="s">
        <v>94</v>
      </c>
      <c r="K22" t="s">
        <v>95</v>
      </c>
      <c r="M22" t="s">
        <v>62</v>
      </c>
      <c r="N22">
        <v>9</v>
      </c>
      <c r="O22" t="s">
        <v>114</v>
      </c>
      <c r="P22" t="s">
        <v>115</v>
      </c>
      <c r="Q22" t="s">
        <v>116</v>
      </c>
      <c r="R22">
        <v>99999</v>
      </c>
      <c r="S22" t="s">
        <v>30</v>
      </c>
      <c r="U22" t="s">
        <v>103</v>
      </c>
      <c r="V22" t="s">
        <v>37</v>
      </c>
      <c r="W22" s="3">
        <v>2.99</v>
      </c>
      <c r="X22">
        <v>49</v>
      </c>
      <c r="Y22" s="4">
        <v>146.51000000000002</v>
      </c>
      <c r="Z22" s="3">
        <v>15.090530000000005</v>
      </c>
    </row>
    <row r="23" spans="1:26" x14ac:dyDescent="0.35">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35">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35">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35">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35">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35">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35">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35">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35">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35">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35">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35">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163</v>
      </c>
      <c r="Y34" s="4">
        <v>10</v>
      </c>
      <c r="Z34" s="3">
        <v>43</v>
      </c>
    </row>
    <row r="35" spans="1:26" x14ac:dyDescent="0.35">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163</v>
      </c>
      <c r="Y35" s="4">
        <v>10</v>
      </c>
      <c r="Z35" s="3">
        <v>31</v>
      </c>
    </row>
    <row r="36" spans="1:26" x14ac:dyDescent="0.35">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163</v>
      </c>
      <c r="Y36" s="4">
        <v>10</v>
      </c>
      <c r="Z36" s="3">
        <v>46</v>
      </c>
    </row>
    <row r="37" spans="1:26" x14ac:dyDescent="0.35">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35">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35">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35">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35">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35">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35">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35">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35">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35">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35">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35">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35">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35">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35">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35">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35">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35">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35">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35">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35">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35">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35">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35">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35">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35">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35">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35">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35">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35">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35">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35">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35">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35">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35">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35">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35">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35">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35">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35">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35">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35">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35">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35">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35">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35">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35">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35">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35">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35">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35">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35">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35">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35">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35">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35">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35">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35">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35">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35">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35">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35">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35">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35">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35">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35">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35">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35">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35">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35">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35">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35">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35">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35">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35">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35">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35">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35">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35">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35">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35">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35">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35">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35">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35">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35">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35">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35">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35">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35">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35">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35">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35">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35">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35">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35">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35">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35">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35">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35">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35">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35">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35">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35">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35">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35">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35">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35">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35">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35">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35">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35">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35">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35">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35">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35">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35">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35">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35">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35">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35">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35">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35">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35">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35">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35">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35">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35">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35">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35">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35">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35">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35">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35">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35">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35">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35">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35">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35">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35">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35">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35">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35">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35">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35">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35">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35">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35">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35">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35">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35">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35">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35">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35">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35">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35">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35">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35">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35">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35">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35">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35">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35">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35">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35">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35">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35">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35">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35">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35">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35">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35">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35">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35">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35">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35">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35">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35">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35">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35">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35">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35">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35">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35">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35">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35">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35">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35">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35">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35">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35">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35">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35">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35">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35">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35">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35">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35">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35">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35">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35">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35">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35">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35">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35">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35">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35">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35">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35">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35">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35">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35">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35">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35">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35">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35">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35">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35">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35">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35">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35">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35">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35">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35">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35">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35">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35">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35">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35">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35">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35">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35">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35">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35">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35">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35">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35">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35">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35">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35">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35">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35">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35">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35">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35">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35">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35">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35">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35">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35">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35">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35">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35">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35">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35">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35">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35">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35">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35">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35">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35">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35">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35">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35">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35">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35">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35">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35">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35">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35">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35">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35">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35">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35">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35">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35">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35">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35">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35">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35">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35">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35">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35">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35">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35">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35">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35">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35">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35">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35">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35">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35">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35">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35">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35">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35">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35">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35">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35">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35">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35">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35">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35">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35">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35">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35">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35">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35">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35">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35">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35">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35">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35">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35">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35">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35">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35">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35">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35">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35">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35">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35">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35">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35">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35">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35">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35">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35">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35">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35">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35">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35">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35">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35">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D4371-6F60-45B8-91AD-1C97F68AB3C3}">
  <dimension ref="A1"/>
  <sheetViews>
    <sheetView topLeftCell="A14" zoomScale="52" zoomScaleNormal="58" workbookViewId="0">
      <selection activeCell="K101" sqref="K101"/>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5472F-6EF5-4C02-92E4-EBCA0503758B}">
  <dimension ref="A11:T207"/>
  <sheetViews>
    <sheetView zoomScale="68" zoomScaleNormal="73" workbookViewId="0">
      <selection activeCell="AH22" sqref="AH22"/>
    </sheetView>
  </sheetViews>
  <sheetFormatPr defaultRowHeight="14.5" x14ac:dyDescent="0.35"/>
  <cols>
    <col min="1" max="1" width="13.453125" bestFit="1" customWidth="1"/>
    <col min="2" max="2" width="14.54296875" bestFit="1" customWidth="1"/>
    <col min="4" max="4" width="10.7265625" customWidth="1"/>
    <col min="5" max="5" width="16.1796875" customWidth="1"/>
    <col min="20" max="20" width="14.81640625" bestFit="1" customWidth="1"/>
  </cols>
  <sheetData>
    <row r="11" spans="1:2" x14ac:dyDescent="0.35">
      <c r="A11" s="10" t="s">
        <v>167</v>
      </c>
      <c r="B11" t="s">
        <v>169</v>
      </c>
    </row>
    <row r="12" spans="1:2" x14ac:dyDescent="0.35">
      <c r="A12" s="11" t="s">
        <v>70</v>
      </c>
      <c r="B12" s="3">
        <v>16350.5</v>
      </c>
    </row>
    <row r="13" spans="1:2" x14ac:dyDescent="0.35">
      <c r="A13" s="11" t="s">
        <v>129</v>
      </c>
      <c r="B13" s="3">
        <v>32530.6</v>
      </c>
    </row>
    <row r="14" spans="1:2" x14ac:dyDescent="0.35">
      <c r="A14" s="11" t="s">
        <v>86</v>
      </c>
      <c r="B14" s="3">
        <v>37428</v>
      </c>
    </row>
    <row r="15" spans="1:2" x14ac:dyDescent="0.35">
      <c r="A15" s="11" t="s">
        <v>101</v>
      </c>
      <c r="B15" s="3">
        <v>41095.01</v>
      </c>
    </row>
    <row r="16" spans="1:2" x14ac:dyDescent="0.35">
      <c r="A16" s="11" t="s">
        <v>31</v>
      </c>
      <c r="B16" s="3">
        <v>42370.880000000005</v>
      </c>
    </row>
    <row r="17" spans="1:2" x14ac:dyDescent="0.35">
      <c r="A17" s="11" t="s">
        <v>44</v>
      </c>
      <c r="B17" s="3">
        <v>67180.5</v>
      </c>
    </row>
    <row r="18" spans="1:2" x14ac:dyDescent="0.35">
      <c r="A18" s="11" t="s">
        <v>94</v>
      </c>
      <c r="B18" s="3">
        <v>93858.329999999987</v>
      </c>
    </row>
    <row r="19" spans="1:2" x14ac:dyDescent="0.35">
      <c r="A19" s="11" t="s">
        <v>60</v>
      </c>
      <c r="B19" s="3">
        <v>104252.33999999997</v>
      </c>
    </row>
    <row r="20" spans="1:2" x14ac:dyDescent="0.35">
      <c r="A20" s="11" t="s">
        <v>168</v>
      </c>
      <c r="B20" s="3">
        <v>435066.15999999992</v>
      </c>
    </row>
    <row r="28" spans="1:2" x14ac:dyDescent="0.35">
      <c r="A28" s="10" t="s">
        <v>167</v>
      </c>
      <c r="B28" t="s">
        <v>169</v>
      </c>
    </row>
    <row r="29" spans="1:2" x14ac:dyDescent="0.35">
      <c r="A29" s="11" t="s">
        <v>45</v>
      </c>
      <c r="B29" s="3">
        <v>108275.51</v>
      </c>
    </row>
    <row r="30" spans="1:2" x14ac:dyDescent="0.35">
      <c r="A30" s="11" t="s">
        <v>61</v>
      </c>
      <c r="B30" s="3">
        <v>141680.33999999997</v>
      </c>
    </row>
    <row r="31" spans="1:2" x14ac:dyDescent="0.35">
      <c r="A31" s="11" t="s">
        <v>95</v>
      </c>
      <c r="B31" s="3">
        <v>93858.329999999987</v>
      </c>
    </row>
    <row r="32" spans="1:2" x14ac:dyDescent="0.35">
      <c r="A32" s="11" t="s">
        <v>32</v>
      </c>
      <c r="B32" s="3">
        <v>91251.979999999981</v>
      </c>
    </row>
    <row r="33" spans="1:2" x14ac:dyDescent="0.35">
      <c r="A33" s="11" t="s">
        <v>168</v>
      </c>
      <c r="B33" s="3">
        <v>435066.15999999992</v>
      </c>
    </row>
    <row r="48" spans="1:2" x14ac:dyDescent="0.35">
      <c r="A48" s="10" t="s">
        <v>167</v>
      </c>
      <c r="B48" t="s">
        <v>169</v>
      </c>
    </row>
    <row r="49" spans="1:2" x14ac:dyDescent="0.35">
      <c r="A49" s="11" t="s">
        <v>99</v>
      </c>
      <c r="B49" s="3">
        <v>41095.01</v>
      </c>
    </row>
    <row r="50" spans="1:2" x14ac:dyDescent="0.35">
      <c r="A50" s="11" t="s">
        <v>92</v>
      </c>
      <c r="B50" s="3">
        <v>43713</v>
      </c>
    </row>
    <row r="51" spans="1:2" x14ac:dyDescent="0.35">
      <c r="A51" s="11" t="s">
        <v>115</v>
      </c>
      <c r="B51" s="3">
        <v>50145.330000000009</v>
      </c>
    </row>
    <row r="52" spans="1:2" x14ac:dyDescent="0.35">
      <c r="A52" s="11" t="s">
        <v>58</v>
      </c>
      <c r="B52" s="3">
        <v>50208.35</v>
      </c>
    </row>
    <row r="53" spans="1:2" x14ac:dyDescent="0.35">
      <c r="A53" s="11" t="s">
        <v>42</v>
      </c>
      <c r="B53" s="3">
        <v>67180.5</v>
      </c>
    </row>
    <row r="54" spans="1:2" x14ac:dyDescent="0.35">
      <c r="A54" s="11" t="s">
        <v>168</v>
      </c>
      <c r="B54" s="3">
        <v>252342.19000000003</v>
      </c>
    </row>
    <row r="69" spans="1:2" x14ac:dyDescent="0.35">
      <c r="A69" s="10" t="s">
        <v>167</v>
      </c>
      <c r="B69" t="s">
        <v>169</v>
      </c>
    </row>
    <row r="70" spans="1:2" x14ac:dyDescent="0.35">
      <c r="A70" s="11" t="s">
        <v>37</v>
      </c>
      <c r="B70" s="3">
        <v>110577.10999999999</v>
      </c>
    </row>
    <row r="71" spans="1:2" x14ac:dyDescent="0.35">
      <c r="A71" s="11" t="s">
        <v>89</v>
      </c>
      <c r="B71" s="3">
        <v>69000</v>
      </c>
    </row>
    <row r="72" spans="1:2" x14ac:dyDescent="0.35">
      <c r="A72" s="11" t="s">
        <v>110</v>
      </c>
      <c r="B72" s="3">
        <v>51541</v>
      </c>
    </row>
    <row r="73" spans="1:2" x14ac:dyDescent="0.35">
      <c r="A73" s="11" t="s">
        <v>134</v>
      </c>
      <c r="B73" s="3">
        <v>33129.600000000006</v>
      </c>
    </row>
    <row r="74" spans="1:2" x14ac:dyDescent="0.35">
      <c r="A74" s="11" t="s">
        <v>39</v>
      </c>
      <c r="B74" s="3">
        <v>27999.5</v>
      </c>
    </row>
    <row r="75" spans="1:2" x14ac:dyDescent="0.35">
      <c r="A75" s="11" t="s">
        <v>168</v>
      </c>
      <c r="B75" s="3">
        <v>292247.20999999996</v>
      </c>
    </row>
    <row r="88" spans="1:4" ht="11" customHeight="1" x14ac:dyDescent="0.35"/>
    <row r="89" spans="1:4" hidden="1" x14ac:dyDescent="0.35"/>
    <row r="96" spans="1:4" x14ac:dyDescent="0.35">
      <c r="A96" s="10" t="s">
        <v>167</v>
      </c>
      <c r="B96" t="s">
        <v>169</v>
      </c>
      <c r="C96" s="13" t="s">
        <v>190</v>
      </c>
      <c r="D96" s="13" t="s">
        <v>24</v>
      </c>
    </row>
    <row r="97" spans="1:4" x14ac:dyDescent="0.35">
      <c r="A97" s="11" t="s">
        <v>42</v>
      </c>
      <c r="B97" s="3">
        <v>67180.5</v>
      </c>
      <c r="C97" s="11" t="s">
        <v>99</v>
      </c>
      <c r="D97" s="3">
        <v>41095.01</v>
      </c>
    </row>
    <row r="98" spans="1:4" x14ac:dyDescent="0.35">
      <c r="A98" s="11" t="s">
        <v>58</v>
      </c>
      <c r="B98" s="3">
        <v>50208.35</v>
      </c>
      <c r="C98" s="11" t="s">
        <v>92</v>
      </c>
      <c r="D98" s="3">
        <v>43713</v>
      </c>
    </row>
    <row r="99" spans="1:4" x14ac:dyDescent="0.35">
      <c r="A99" s="11" t="s">
        <v>115</v>
      </c>
      <c r="B99" s="3">
        <v>50145.330000000009</v>
      </c>
      <c r="C99" s="11" t="s">
        <v>115</v>
      </c>
      <c r="D99" s="3">
        <v>50145.330000000009</v>
      </c>
    </row>
    <row r="100" spans="1:4" x14ac:dyDescent="0.35">
      <c r="A100" s="11" t="s">
        <v>92</v>
      </c>
      <c r="B100" s="3">
        <v>43713</v>
      </c>
      <c r="C100" s="11" t="s">
        <v>84</v>
      </c>
      <c r="D100" s="3">
        <v>37428</v>
      </c>
    </row>
    <row r="101" spans="1:4" x14ac:dyDescent="0.35">
      <c r="A101" s="11" t="s">
        <v>99</v>
      </c>
      <c r="B101" s="3">
        <v>41095.01</v>
      </c>
      <c r="C101" s="11" t="s">
        <v>42</v>
      </c>
      <c r="D101" s="3">
        <v>67180.5</v>
      </c>
    </row>
    <row r="102" spans="1:4" x14ac:dyDescent="0.35">
      <c r="A102" s="11" t="s">
        <v>84</v>
      </c>
      <c r="B102" s="3">
        <v>37428</v>
      </c>
      <c r="C102" s="11" t="s">
        <v>58</v>
      </c>
      <c r="D102" s="3">
        <v>50208.35</v>
      </c>
    </row>
    <row r="103" spans="1:4" x14ac:dyDescent="0.35">
      <c r="A103" s="11" t="s">
        <v>168</v>
      </c>
      <c r="B103" s="3">
        <v>289770.19</v>
      </c>
    </row>
    <row r="113" spans="1:20" x14ac:dyDescent="0.35">
      <c r="A113" s="11"/>
      <c r="B113" s="3"/>
    </row>
    <row r="114" spans="1:20" x14ac:dyDescent="0.35">
      <c r="A114" s="11"/>
      <c r="B114" s="3"/>
    </row>
    <row r="115" spans="1:20" x14ac:dyDescent="0.35">
      <c r="A115" s="11"/>
      <c r="B115" s="3"/>
    </row>
    <row r="116" spans="1:20" x14ac:dyDescent="0.35">
      <c r="A116" s="11"/>
      <c r="B116" s="3"/>
      <c r="S116" s="14" t="s">
        <v>191</v>
      </c>
      <c r="T116" s="14" t="s">
        <v>169</v>
      </c>
    </row>
    <row r="117" spans="1:20" x14ac:dyDescent="0.35">
      <c r="A117" s="10" t="s">
        <v>167</v>
      </c>
      <c r="B117" t="s">
        <v>169</v>
      </c>
      <c r="S117" s="11" t="s">
        <v>43</v>
      </c>
      <c r="T117" s="3">
        <v>67180.5</v>
      </c>
    </row>
    <row r="118" spans="1:20" x14ac:dyDescent="0.35">
      <c r="A118" s="11" t="s">
        <v>43</v>
      </c>
      <c r="B118" s="3">
        <v>67180.5</v>
      </c>
      <c r="D118" s="11" t="s">
        <v>77</v>
      </c>
      <c r="E118" s="3">
        <v>27005.38</v>
      </c>
      <c r="S118" s="11" t="s">
        <v>59</v>
      </c>
      <c r="T118" s="3">
        <v>50208.35</v>
      </c>
    </row>
    <row r="119" spans="1:20" x14ac:dyDescent="0.35">
      <c r="A119" s="11" t="s">
        <v>59</v>
      </c>
      <c r="B119" s="3">
        <v>50208.35</v>
      </c>
      <c r="D119" s="11" t="s">
        <v>69</v>
      </c>
      <c r="E119" s="3">
        <v>16350.5</v>
      </c>
      <c r="S119" s="11" t="s">
        <v>116</v>
      </c>
      <c r="T119" s="3">
        <v>50145.330000000009</v>
      </c>
    </row>
    <row r="120" spans="1:20" x14ac:dyDescent="0.35">
      <c r="A120" s="11" t="s">
        <v>116</v>
      </c>
      <c r="B120" s="3">
        <v>50145.330000000009</v>
      </c>
      <c r="D120" s="11" t="s">
        <v>116</v>
      </c>
      <c r="E120" s="3">
        <v>50145.330000000009</v>
      </c>
      <c r="S120" s="11" t="s">
        <v>93</v>
      </c>
      <c r="T120" s="3">
        <v>43713</v>
      </c>
    </row>
    <row r="121" spans="1:20" x14ac:dyDescent="0.35">
      <c r="A121" s="11" t="s">
        <v>93</v>
      </c>
      <c r="B121" s="3">
        <v>43713</v>
      </c>
      <c r="D121" s="11" t="s">
        <v>107</v>
      </c>
      <c r="E121" s="3">
        <v>17204</v>
      </c>
      <c r="S121" s="11" t="s">
        <v>100</v>
      </c>
      <c r="T121" s="3">
        <v>41095.01</v>
      </c>
    </row>
    <row r="122" spans="1:20" x14ac:dyDescent="0.35">
      <c r="A122" s="11" t="s">
        <v>100</v>
      </c>
      <c r="B122" s="3">
        <v>41095.01</v>
      </c>
      <c r="D122" s="11" t="s">
        <v>100</v>
      </c>
      <c r="E122" s="3">
        <v>41095.01</v>
      </c>
      <c r="S122" s="11" t="s">
        <v>85</v>
      </c>
      <c r="T122" s="3">
        <v>37428</v>
      </c>
    </row>
    <row r="123" spans="1:20" x14ac:dyDescent="0.35">
      <c r="A123" s="11" t="s">
        <v>85</v>
      </c>
      <c r="B123" s="3">
        <v>37428</v>
      </c>
      <c r="D123" s="11" t="s">
        <v>29</v>
      </c>
      <c r="E123" s="3">
        <v>15365.5</v>
      </c>
      <c r="S123" s="11" t="s">
        <v>121</v>
      </c>
      <c r="T123" s="3">
        <v>36839.990000000005</v>
      </c>
    </row>
    <row r="124" spans="1:20" x14ac:dyDescent="0.35">
      <c r="A124" s="11" t="s">
        <v>121</v>
      </c>
      <c r="B124" s="3">
        <v>36839.990000000005</v>
      </c>
      <c r="D124" s="11" t="s">
        <v>43</v>
      </c>
      <c r="E124" s="3">
        <v>67180.5</v>
      </c>
      <c r="S124" s="11" t="s">
        <v>128</v>
      </c>
      <c r="T124" s="3">
        <v>32530.6</v>
      </c>
    </row>
    <row r="125" spans="1:20" x14ac:dyDescent="0.35">
      <c r="A125" s="11" t="s">
        <v>128</v>
      </c>
      <c r="B125" s="3">
        <v>32530.6</v>
      </c>
      <c r="D125" s="11" t="s">
        <v>59</v>
      </c>
      <c r="E125" s="3">
        <v>50208.35</v>
      </c>
      <c r="S125" s="11" t="s">
        <v>77</v>
      </c>
      <c r="T125" s="3">
        <v>27005.38</v>
      </c>
    </row>
    <row r="126" spans="1:20" x14ac:dyDescent="0.35">
      <c r="A126" s="11" t="s">
        <v>77</v>
      </c>
      <c r="B126" s="3">
        <v>27005.38</v>
      </c>
      <c r="D126" s="11" t="s">
        <v>93</v>
      </c>
      <c r="E126" s="3">
        <v>43713</v>
      </c>
      <c r="S126" s="11" t="s">
        <v>107</v>
      </c>
      <c r="T126" s="3">
        <v>17204</v>
      </c>
    </row>
    <row r="127" spans="1:20" x14ac:dyDescent="0.35">
      <c r="A127" s="11" t="s">
        <v>107</v>
      </c>
      <c r="B127" s="3">
        <v>17204</v>
      </c>
      <c r="D127" s="11" t="s">
        <v>128</v>
      </c>
      <c r="E127" s="3">
        <v>32530.6</v>
      </c>
      <c r="S127" s="11" t="s">
        <v>69</v>
      </c>
      <c r="T127" s="3">
        <v>16350.5</v>
      </c>
    </row>
    <row r="128" spans="1:20" x14ac:dyDescent="0.35">
      <c r="A128" s="11" t="s">
        <v>69</v>
      </c>
      <c r="B128" s="3">
        <v>16350.5</v>
      </c>
      <c r="D128" s="11" t="s">
        <v>121</v>
      </c>
      <c r="E128" s="3">
        <v>36839.990000000005</v>
      </c>
      <c r="S128" s="11" t="s">
        <v>29</v>
      </c>
      <c r="T128" s="3">
        <v>15365.5</v>
      </c>
    </row>
    <row r="129" spans="1:5" x14ac:dyDescent="0.35">
      <c r="A129" s="11" t="s">
        <v>29</v>
      </c>
      <c r="B129" s="3">
        <v>15365.5</v>
      </c>
      <c r="D129" s="11" t="s">
        <v>85</v>
      </c>
      <c r="E129" s="3">
        <v>37428</v>
      </c>
    </row>
    <row r="130" spans="1:5" x14ac:dyDescent="0.35">
      <c r="A130" s="11" t="s">
        <v>168</v>
      </c>
      <c r="B130" s="3">
        <v>435066.16</v>
      </c>
    </row>
    <row r="134" spans="1:5" x14ac:dyDescent="0.35">
      <c r="D134" s="11"/>
      <c r="E134" s="3"/>
    </row>
    <row r="135" spans="1:5" x14ac:dyDescent="0.35">
      <c r="D135" s="11"/>
      <c r="E135" s="3"/>
    </row>
    <row r="136" spans="1:5" x14ac:dyDescent="0.35">
      <c r="D136" s="11"/>
      <c r="E136" s="3"/>
    </row>
    <row r="137" spans="1:5" x14ac:dyDescent="0.35">
      <c r="D137" s="11"/>
      <c r="E137" s="3"/>
    </row>
    <row r="138" spans="1:5" x14ac:dyDescent="0.35">
      <c r="D138" s="11"/>
      <c r="E138" s="3"/>
    </row>
    <row r="139" spans="1:5" x14ac:dyDescent="0.35">
      <c r="D139" s="11"/>
      <c r="E139" s="3"/>
    </row>
    <row r="140" spans="1:5" x14ac:dyDescent="0.35">
      <c r="D140" s="11"/>
      <c r="E140" s="3"/>
    </row>
    <row r="141" spans="1:5" x14ac:dyDescent="0.35">
      <c r="D141" s="11"/>
      <c r="E141" s="3"/>
    </row>
    <row r="142" spans="1:5" x14ac:dyDescent="0.35">
      <c r="A142" s="10" t="s">
        <v>167</v>
      </c>
      <c r="B142" t="s">
        <v>169</v>
      </c>
      <c r="D142" s="11"/>
      <c r="E142" s="3"/>
    </row>
    <row r="143" spans="1:5" x14ac:dyDescent="0.35">
      <c r="A143" s="11" t="s">
        <v>170</v>
      </c>
      <c r="B143" s="3">
        <v>32907.839999999997</v>
      </c>
      <c r="D143" s="11"/>
      <c r="E143" s="3"/>
    </row>
    <row r="144" spans="1:5" x14ac:dyDescent="0.35">
      <c r="A144" s="11" t="s">
        <v>171</v>
      </c>
      <c r="B144" s="3">
        <v>19985.5</v>
      </c>
      <c r="D144" s="11"/>
      <c r="E144" s="3"/>
    </row>
    <row r="145" spans="1:5" x14ac:dyDescent="0.35">
      <c r="A145" s="11" t="s">
        <v>172</v>
      </c>
      <c r="B145" s="3">
        <v>30852.6</v>
      </c>
      <c r="D145" s="11"/>
      <c r="E145" s="3"/>
    </row>
    <row r="146" spans="1:5" x14ac:dyDescent="0.35">
      <c r="A146" s="11" t="s">
        <v>173</v>
      </c>
      <c r="B146" s="3">
        <v>20771.789999999997</v>
      </c>
    </row>
    <row r="147" spans="1:5" x14ac:dyDescent="0.35">
      <c r="A147" s="11" t="s">
        <v>174</v>
      </c>
      <c r="B147" s="3">
        <v>34307.049999999996</v>
      </c>
    </row>
    <row r="148" spans="1:5" x14ac:dyDescent="0.35">
      <c r="A148" s="11" t="s">
        <v>175</v>
      </c>
      <c r="B148" s="3">
        <v>55601.61</v>
      </c>
    </row>
    <row r="149" spans="1:5" x14ac:dyDescent="0.35">
      <c r="A149" s="11" t="s">
        <v>176</v>
      </c>
      <c r="B149" s="3">
        <v>27318.539999999997</v>
      </c>
    </row>
    <row r="150" spans="1:5" x14ac:dyDescent="0.35">
      <c r="A150" s="11" t="s">
        <v>177</v>
      </c>
      <c r="B150" s="3">
        <v>29921.459999999995</v>
      </c>
    </row>
    <row r="151" spans="1:5" x14ac:dyDescent="0.35">
      <c r="A151" s="11" t="s">
        <v>178</v>
      </c>
      <c r="B151" s="3">
        <v>31949.97</v>
      </c>
      <c r="C151" s="3"/>
    </row>
    <row r="152" spans="1:5" x14ac:dyDescent="0.35">
      <c r="A152" s="11" t="s">
        <v>179</v>
      </c>
      <c r="B152" s="3">
        <v>53033.59</v>
      </c>
      <c r="C152" s="3"/>
    </row>
    <row r="153" spans="1:5" x14ac:dyDescent="0.35">
      <c r="A153" s="11" t="s">
        <v>180</v>
      </c>
      <c r="B153" s="3">
        <v>31773.429999999997</v>
      </c>
      <c r="C153" s="3"/>
    </row>
    <row r="154" spans="1:5" x14ac:dyDescent="0.35">
      <c r="A154" s="11" t="s">
        <v>181</v>
      </c>
      <c r="B154" s="3">
        <v>66642.78</v>
      </c>
      <c r="C154" s="3"/>
    </row>
    <row r="155" spans="1:5" x14ac:dyDescent="0.35">
      <c r="A155" s="11" t="s">
        <v>168</v>
      </c>
      <c r="B155" s="3">
        <v>435066.15999999992</v>
      </c>
      <c r="C155" s="3"/>
    </row>
    <row r="156" spans="1:5" x14ac:dyDescent="0.35">
      <c r="C156" s="3"/>
    </row>
    <row r="157" spans="1:5" x14ac:dyDescent="0.35">
      <c r="C157" s="3"/>
    </row>
    <row r="158" spans="1:5" x14ac:dyDescent="0.35">
      <c r="C158" s="3"/>
    </row>
    <row r="159" spans="1:5" x14ac:dyDescent="0.35">
      <c r="C159" s="3"/>
    </row>
    <row r="160" spans="1:5" x14ac:dyDescent="0.35">
      <c r="C160" s="3"/>
    </row>
    <row r="161" spans="1:3" x14ac:dyDescent="0.35">
      <c r="C161" s="3"/>
    </row>
    <row r="162" spans="1:3" x14ac:dyDescent="0.35">
      <c r="C162" s="3"/>
    </row>
    <row r="170" spans="1:3" x14ac:dyDescent="0.35">
      <c r="A170" s="10" t="s">
        <v>167</v>
      </c>
      <c r="B170" t="s">
        <v>182</v>
      </c>
    </row>
    <row r="171" spans="1:3" x14ac:dyDescent="0.35">
      <c r="A171" s="12" t="s">
        <v>183</v>
      </c>
      <c r="B171">
        <v>218</v>
      </c>
    </row>
    <row r="172" spans="1:3" x14ac:dyDescent="0.35">
      <c r="A172" s="12" t="s">
        <v>184</v>
      </c>
      <c r="B172">
        <v>85</v>
      </c>
    </row>
    <row r="173" spans="1:3" x14ac:dyDescent="0.35">
      <c r="A173" s="12" t="s">
        <v>185</v>
      </c>
      <c r="B173">
        <v>31</v>
      </c>
    </row>
    <row r="174" spans="1:3" x14ac:dyDescent="0.35">
      <c r="A174" s="12" t="s">
        <v>186</v>
      </c>
      <c r="B174">
        <v>24</v>
      </c>
    </row>
    <row r="175" spans="1:3" x14ac:dyDescent="0.35">
      <c r="A175" s="12" t="s">
        <v>187</v>
      </c>
      <c r="B175">
        <v>8</v>
      </c>
    </row>
    <row r="176" spans="1:3" x14ac:dyDescent="0.35">
      <c r="A176" s="12" t="s">
        <v>188</v>
      </c>
      <c r="B176">
        <v>2</v>
      </c>
    </row>
    <row r="177" spans="1:2" x14ac:dyDescent="0.35">
      <c r="A177" s="12" t="s">
        <v>189</v>
      </c>
      <c r="B177">
        <v>1</v>
      </c>
    </row>
    <row r="178" spans="1:2" x14ac:dyDescent="0.35">
      <c r="A178" s="12" t="s">
        <v>168</v>
      </c>
      <c r="B178">
        <v>369</v>
      </c>
    </row>
    <row r="191" spans="1:2" x14ac:dyDescent="0.35">
      <c r="A191" s="10" t="s">
        <v>167</v>
      </c>
      <c r="B191" t="s">
        <v>169</v>
      </c>
    </row>
    <row r="192" spans="1:2" x14ac:dyDescent="0.35">
      <c r="A192" s="11" t="s">
        <v>26</v>
      </c>
      <c r="B192" s="3">
        <v>1291.5</v>
      </c>
    </row>
    <row r="193" spans="1:2" x14ac:dyDescent="0.35">
      <c r="A193" s="11" t="s">
        <v>137</v>
      </c>
      <c r="B193" s="3">
        <v>11962</v>
      </c>
    </row>
    <row r="194" spans="1:2" x14ac:dyDescent="0.35">
      <c r="A194" s="11" t="s">
        <v>51</v>
      </c>
      <c r="B194" s="3">
        <v>14074</v>
      </c>
    </row>
    <row r="195" spans="1:2" x14ac:dyDescent="0.35">
      <c r="A195" s="11" t="s">
        <v>66</v>
      </c>
      <c r="B195" s="3">
        <v>16350.5</v>
      </c>
    </row>
    <row r="196" spans="1:2" x14ac:dyDescent="0.35">
      <c r="A196" s="11" t="s">
        <v>104</v>
      </c>
      <c r="B196" s="3">
        <v>17204</v>
      </c>
    </row>
    <row r="197" spans="1:2" x14ac:dyDescent="0.35">
      <c r="A197" s="11" t="s">
        <v>113</v>
      </c>
      <c r="B197" s="3">
        <v>21937.08</v>
      </c>
    </row>
    <row r="198" spans="1:2" x14ac:dyDescent="0.35">
      <c r="A198" s="11" t="s">
        <v>74</v>
      </c>
      <c r="B198" s="3">
        <v>27005.38</v>
      </c>
    </row>
    <row r="199" spans="1:2" x14ac:dyDescent="0.35">
      <c r="A199" s="11" t="s">
        <v>140</v>
      </c>
      <c r="B199" s="3">
        <v>28208.250000000007</v>
      </c>
    </row>
    <row r="200" spans="1:2" x14ac:dyDescent="0.35">
      <c r="A200" s="11" t="s">
        <v>97</v>
      </c>
      <c r="B200" s="3">
        <v>29133.009999999995</v>
      </c>
    </row>
    <row r="201" spans="1:2" x14ac:dyDescent="0.35">
      <c r="A201" s="11" t="s">
        <v>125</v>
      </c>
      <c r="B201" s="3">
        <v>32530.6</v>
      </c>
    </row>
    <row r="202" spans="1:2" x14ac:dyDescent="0.35">
      <c r="A202" s="11" t="s">
        <v>118</v>
      </c>
      <c r="B202" s="3">
        <v>36839.990000000005</v>
      </c>
    </row>
    <row r="203" spans="1:2" x14ac:dyDescent="0.35">
      <c r="A203" s="11" t="s">
        <v>82</v>
      </c>
      <c r="B203" s="3">
        <v>37428</v>
      </c>
    </row>
    <row r="204" spans="1:2" x14ac:dyDescent="0.35">
      <c r="A204" s="11" t="s">
        <v>90</v>
      </c>
      <c r="B204" s="3">
        <v>43713</v>
      </c>
    </row>
    <row r="205" spans="1:2" x14ac:dyDescent="0.35">
      <c r="A205" s="11" t="s">
        <v>56</v>
      </c>
      <c r="B205" s="3">
        <v>50208.35</v>
      </c>
    </row>
    <row r="206" spans="1:2" x14ac:dyDescent="0.35">
      <c r="A206" s="11" t="s">
        <v>40</v>
      </c>
      <c r="B206" s="3">
        <v>67180.5</v>
      </c>
    </row>
    <row r="207" spans="1:2" x14ac:dyDescent="0.35">
      <c r="A207" s="11" t="s">
        <v>168</v>
      </c>
      <c r="B207" s="3">
        <v>435066.16</v>
      </c>
    </row>
  </sheetData>
  <pageMargins left="0.7" right="0.7" top="0.75" bottom="0.75" header="0.3" footer="0.3"/>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1520B-97E4-422F-862F-C558B1905258}">
  <dimension ref="A1"/>
  <sheetViews>
    <sheetView topLeftCell="A71" zoomScale="54" zoomScaleNormal="54" workbookViewId="0">
      <selection activeCell="Z72" sqref="A1:XFD1048576"/>
    </sheetView>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F307E-2DC5-4357-B6A4-94CD8A032C81}">
  <dimension ref="A1"/>
  <sheetViews>
    <sheetView showGridLines="0" topLeftCell="B1" zoomScale="56" zoomScaleNormal="58" workbookViewId="0">
      <selection activeCell="E71" sqref="E71"/>
    </sheetView>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C853E-6B73-4B1A-9B92-F5854C88E993}">
  <dimension ref="A1"/>
  <sheetViews>
    <sheetView showGridLines="0" topLeftCell="L60" zoomScale="73" workbookViewId="0">
      <selection activeCell="L78" sqref="L78"/>
    </sheetView>
  </sheetViews>
  <sheetFormatPr defaultRowHeight="14.5" x14ac:dyDescent="0.3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A5985-6DFC-4F52-8538-C5F8CF9F8E6E}">
  <dimension ref="A1"/>
  <sheetViews>
    <sheetView showGridLines="0" tabSelected="1" topLeftCell="B1" zoomScale="60" zoomScaleNormal="79" workbookViewId="0">
      <selection activeCell="S51" sqref="S51"/>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91E56-6622-4603-A406-27464F3770D5}">
  <dimension ref="A1"/>
  <sheetViews>
    <sheetView showGridLines="0" topLeftCell="M66" zoomScale="63" workbookViewId="0">
      <selection activeCell="O105" sqref="O105"/>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 Table Diagram</vt:lpstr>
      <vt:lpstr>Task</vt:lpstr>
      <vt:lpstr>Data (2)</vt:lpstr>
      <vt:lpstr>PRE-ANALYSIS BOARD</vt:lpstr>
      <vt:lpstr>PIVOT ANALYSIS</vt:lpstr>
      <vt:lpstr>OBSERVATIONS</vt:lpstr>
      <vt:lpstr>Dashboard sketch</vt:lpstr>
      <vt:lpstr>Post analysis observations </vt:lpstr>
      <vt:lpstr>Dashboard sketch (2)</vt:lpstr>
      <vt:lpstr>Post analysis Insights</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Chiemezie Victor Ogu</cp:lastModifiedBy>
  <dcterms:created xsi:type="dcterms:W3CDTF">2015-01-21T18:43:03Z</dcterms:created>
  <dcterms:modified xsi:type="dcterms:W3CDTF">2026-03-17T21:49:06Z</dcterms:modified>
</cp:coreProperties>
</file>